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 Calculator" sheetId="1" state="visible" r:id="rId1"/>
    <sheet xmlns:r="http://schemas.openxmlformats.org/officeDocument/2006/relationships" name="PriceLookup" sheetId="2" state="visible" r:id="rId2"/>
    <sheet xmlns:r="http://schemas.openxmlformats.org/officeDocument/2006/relationships" name="Trade Log" sheetId="3" state="visible" r:id="rId3"/>
    <sheet xmlns:r="http://schemas.openxmlformats.org/officeDocument/2006/relationships" name="How to Refresh" sheetId="4" state="visible" r:id="rId4"/>
  </sheets>
  <definedNames>
    <definedName name="_xlnm._FilterDatabase" localSheetId="1" hidden="1">'PriceLookup'!$A$1:$B$497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666666"/>
      <sz val="9"/>
    </font>
    <font>
      <name val="Arial"/>
      <b val="1"/>
      <sz val="10"/>
    </font>
    <font>
      <name val="Arial"/>
      <b val="1"/>
      <sz val="12"/>
    </font>
    <font>
      <name val="Arial"/>
      <b val="1"/>
      <color rgb="00FFFFFF"/>
      <sz val="10"/>
    </font>
    <font>
      <b val="1"/>
    </font>
  </fonts>
  <fills count="6">
    <fill>
      <patternFill/>
    </fill>
    <fill>
      <patternFill patternType="gray125"/>
    </fill>
    <fill>
      <patternFill patternType="solid">
        <fgColor rgb="001F4E79"/>
      </patternFill>
    </fill>
    <fill>
      <patternFill patternType="solid">
        <fgColor rgb="00D6DCE4"/>
      </patternFill>
    </fill>
    <fill>
      <patternFill patternType="solid">
        <fgColor rgb="00FFF2CC"/>
      </patternFill>
    </fill>
    <fill>
      <patternFill patternType="solid">
        <fgColor rgb="00E2EFD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pivotButton="0" quotePrefix="0" xfId="0"/>
    <xf numFmtId="0" fontId="3" fillId="0" borderId="1" pivotButton="0" quotePrefix="0" xfId="0"/>
    <xf numFmtId="0" fontId="0" fillId="4" borderId="1" pivotButton="0" quotePrefix="0" xfId="0"/>
    <xf numFmtId="4" fontId="0" fillId="5" borderId="1" pivotButton="0" quotePrefix="0" xfId="0"/>
    <xf numFmtId="4" fontId="0" fillId="4" borderId="1" pivotButton="0" quotePrefix="0" xfId="0"/>
    <xf numFmtId="2" fontId="0" fillId="4" borderId="1" pivotButton="0" quotePrefix="0" xfId="0"/>
    <xf numFmtId="4" fontId="4" fillId="5" borderId="1" pivotButton="0" quotePrefix="0" xfId="0"/>
    <xf numFmtId="10" fontId="0" fillId="5" borderId="1" pivotButton="0" quotePrefix="0" xfId="0"/>
    <xf numFmtId="0" fontId="3" fillId="0" borderId="0" pivotButton="0" quotePrefix="0" xfId="0"/>
    <xf numFmtId="0" fontId="0" fillId="0" borderId="0" applyAlignment="1" pivotButton="0" quotePrefix="0" xfId="0">
      <alignment vertical="top" wrapText="1"/>
    </xf>
    <xf numFmtId="0" fontId="5" fillId="2" borderId="1" pivotButton="0" quotePrefix="0" xfId="0"/>
    <xf numFmtId="0" fontId="0" fillId="0" borderId="1" pivotButton="0" quotePrefix="0" xfId="0"/>
    <xf numFmtId="4" fontId="0" fillId="0" borderId="1" pivotButton="0" quotePrefix="0" xfId="0"/>
    <xf numFmtId="0" fontId="1" fillId="2" borderId="0" pivotButton="0" quotePrefix="0" xfId="0"/>
    <xf numFmtId="4" fontId="6"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2" customWidth="1" min="1" max="1"/>
    <col width="18" customWidth="1" min="2" max="2"/>
  </cols>
  <sheetData>
    <row r="1">
      <c r="A1" s="1" t="inlineStr">
        <is>
          <t>PSX DAY TRADING CALCULATOR — Live Prices Linked</t>
        </is>
      </c>
    </row>
    <row r="2">
      <c r="A2" s="2" t="inlineStr">
        <is>
          <t>PriceLookup se auto rate · UPDATE_PRICES.bat se refresh · 2026-09-05 06:48 PKT</t>
        </is>
      </c>
    </row>
    <row r="4">
      <c r="A4" s="3" t="inlineStr">
        <is>
          <t>TRADE INPUTS</t>
        </is>
      </c>
    </row>
    <row r="5">
      <c r="A5" s="4" t="inlineStr">
        <is>
          <t>Ticker / Symbol</t>
        </is>
      </c>
      <c r="B5" s="5" t="inlineStr">
        <is>
          <t>HBL</t>
        </is>
      </c>
    </row>
    <row r="6">
      <c r="A6" s="4" t="inlineStr">
        <is>
          <t>Quantity (shares)</t>
        </is>
      </c>
      <c r="B6" s="5" t="n">
        <v>100</v>
      </c>
    </row>
    <row r="7">
      <c r="A7" s="4" t="inlineStr">
        <is>
          <t>Live Price (auto)</t>
        </is>
      </c>
      <c r="B7" s="6">
        <f>IFERROR(XLOOKUP(UPPER(TRIM(B5)),PriceLookup!A:A,PriceLookup!B:B),"Ticker nahi mila")</f>
        <v/>
      </c>
    </row>
    <row r="8">
      <c r="A8" s="4" t="inlineStr">
        <is>
          <t>Entry Price</t>
        </is>
      </c>
      <c r="B8" s="7">
        <f>IFERROR(B7,0)</f>
        <v/>
      </c>
    </row>
    <row r="9">
      <c r="A9" s="4" t="inlineStr">
        <is>
          <t>Exit Price</t>
        </is>
      </c>
      <c r="B9" s="7" t="n"/>
    </row>
    <row r="10">
      <c r="A10" s="4" t="inlineStr">
        <is>
          <t>Brokerage % (one side)</t>
        </is>
      </c>
      <c r="B10" s="8" t="n">
        <v>0.15</v>
      </c>
    </row>
    <row r="11">
      <c r="A11" s="4" t="inlineStr">
        <is>
          <t>Other fees PKR</t>
        </is>
      </c>
      <c r="B11" s="7" t="n">
        <v>0</v>
      </c>
    </row>
    <row r="13">
      <c r="A13" s="3" t="inlineStr">
        <is>
          <t>RESULTS</t>
        </is>
      </c>
    </row>
    <row r="14">
      <c r="A14" s="4" t="inlineStr">
        <is>
          <t>Buy cost (incl. brokerage)</t>
        </is>
      </c>
      <c r="B14" s="6">
        <f>IF(OR(B6="",B8=""),"",B6*B8*(1+B10/100))</f>
        <v/>
      </c>
    </row>
    <row r="15">
      <c r="A15" s="4" t="inlineStr">
        <is>
          <t>Sell proceeds (after brokerage)</t>
        </is>
      </c>
      <c r="B15" s="6">
        <f>IF(OR(B6="",B9=""),"",B6*B9*(1-B10/100))</f>
        <v/>
      </c>
    </row>
    <row r="16">
      <c r="A16" s="4" t="inlineStr">
        <is>
          <t>Gross P/L</t>
        </is>
      </c>
      <c r="B16" s="6">
        <f>IF(OR(B14="",B15=""),"",B15-B14)</f>
        <v/>
      </c>
    </row>
    <row r="17">
      <c r="A17" s="4" t="inlineStr">
        <is>
          <t>Net P/L</t>
        </is>
      </c>
      <c r="B17" s="9">
        <f>IF(B16="","",B16-B11)</f>
        <v/>
      </c>
    </row>
    <row r="18">
      <c r="A18" s="4" t="inlineStr">
        <is>
          <t>Return %</t>
        </is>
      </c>
      <c r="B18" s="10">
        <f>IF(OR(B14="",B14=0),"",B17/B14)</f>
        <v/>
      </c>
    </row>
    <row r="19">
      <c r="A19" s="4" t="inlineStr">
        <is>
          <t>Break-even exit price</t>
        </is>
      </c>
      <c r="B19" s="6">
        <f>IF(OR(B8="",B10=""),"",B8*(1+B10/100)/(1-B10/100))</f>
        <v/>
      </c>
    </row>
    <row r="21">
      <c r="A21" s="11" t="inlineStr">
        <is>
          <t>Istemaal</t>
        </is>
      </c>
    </row>
    <row r="22">
      <c r="A22" s="12" t="inlineStr">
        <is>
          <t>1) B5 mein ticker likho (HBL, LUCK, OGDC...). Dropdown se bhi choose kar sakte ho.
2) B7 mein live price auto aati hai. Entry (B8) default usi pe hai.
3) Exit price (B9) daalo → Net P/L nikal aayega.
4) Taza rates: UPDATE_PRICES.bat → PriceLookup copy-paste (dekhain README_URDU.txt).</t>
        </is>
      </c>
    </row>
    <row r="23"/>
    <row r="24"/>
  </sheetData>
  <mergeCells count="5">
    <mergeCell ref="A4:B4"/>
    <mergeCell ref="A2:F2"/>
    <mergeCell ref="A22:F24"/>
    <mergeCell ref="A1:F1"/>
    <mergeCell ref="A13:B13"/>
  </mergeCells>
  <dataValidations count="1">
    <dataValidation sqref="B5" showDropDown="0" showInputMessage="0" showErrorMessage="0" allowBlank="1" type="list">
      <formula1>"HBL,UBL,MCB,MEBL,BAHL,BAFL,NBP,ABL,AKBL,BOP,OGDC,PPL,POL,MARI,PSO,LUCK,MLCF,DGKC,FCCL,FFC,EFERT,ENGRO,HUBC,SYS,TRG,MTL,INDU,NESTLE"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3" t="inlineStr">
        <is>
          <t>Symbol</t>
        </is>
      </c>
      <c r="B1" s="13" t="inlineStr">
        <is>
          <t>Current</t>
        </is>
      </c>
    </row>
    <row r="2">
      <c r="A2" s="14" t="inlineStr">
        <is>
          <t>CNERGY</t>
        </is>
      </c>
      <c r="B2" s="15" t="n">
        <v>13.92</v>
      </c>
    </row>
    <row r="3">
      <c r="A3" s="14" t="inlineStr">
        <is>
          <t>TISL</t>
        </is>
      </c>
      <c r="B3" s="15" t="n">
        <v>4.36</v>
      </c>
    </row>
    <row r="4">
      <c r="A4" s="14" t="inlineStr">
        <is>
          <t>WTL</t>
        </is>
      </c>
      <c r="B4" s="15" t="n">
        <v>1.13</v>
      </c>
    </row>
    <row r="5">
      <c r="A5" s="14" t="inlineStr">
        <is>
          <t>PRL</t>
        </is>
      </c>
      <c r="B5" s="15" t="n">
        <v>98.70999999999999</v>
      </c>
    </row>
    <row r="6">
      <c r="A6" s="14" t="inlineStr">
        <is>
          <t>ASL</t>
        </is>
      </c>
      <c r="B6" s="15" t="n">
        <v>16.59</v>
      </c>
    </row>
    <row r="7">
      <c r="A7" s="14" t="inlineStr">
        <is>
          <t>FNEL</t>
        </is>
      </c>
      <c r="B7" s="15" t="n">
        <v>1.18</v>
      </c>
    </row>
    <row r="8">
      <c r="A8" s="14" t="inlineStr">
        <is>
          <t>MDTL</t>
        </is>
      </c>
      <c r="B8" s="15" t="n">
        <v>6.66</v>
      </c>
    </row>
    <row r="9">
      <c r="A9" s="14" t="inlineStr">
        <is>
          <t>FPJM</t>
        </is>
      </c>
      <c r="B9" s="15" t="n">
        <v>20.84</v>
      </c>
    </row>
    <row r="10">
      <c r="A10" s="14" t="inlineStr">
        <is>
          <t>TELE</t>
        </is>
      </c>
      <c r="B10" s="15" t="n">
        <v>8.23</v>
      </c>
    </row>
    <row r="11">
      <c r="A11" s="14" t="inlineStr">
        <is>
          <t>SGPLR</t>
        </is>
      </c>
      <c r="B11" s="15" t="n">
        <v>10.64</v>
      </c>
    </row>
    <row r="12">
      <c r="A12" s="14" t="inlineStr">
        <is>
          <t>BOP</t>
        </is>
      </c>
      <c r="B12" s="15" t="n">
        <v>34.88</v>
      </c>
    </row>
    <row r="13">
      <c r="A13" s="14" t="inlineStr">
        <is>
          <t>THCCL</t>
        </is>
      </c>
      <c r="B13" s="15" t="n">
        <v>79.68000000000001</v>
      </c>
    </row>
    <row r="14">
      <c r="A14" s="14" t="inlineStr">
        <is>
          <t>MLCF</t>
        </is>
      </c>
      <c r="B14" s="15" t="n">
        <v>101.46</v>
      </c>
    </row>
    <row r="15">
      <c r="A15" s="14" t="inlineStr">
        <is>
          <t>TSBL</t>
        </is>
      </c>
      <c r="B15" s="15" t="n">
        <v>2.46</v>
      </c>
    </row>
    <row r="16">
      <c r="A16" s="14" t="inlineStr">
        <is>
          <t>HASCOLNC</t>
        </is>
      </c>
      <c r="B16" s="15" t="n">
        <v>21.16</v>
      </c>
    </row>
    <row r="17">
      <c r="A17" s="14" t="inlineStr">
        <is>
          <t>PPL</t>
        </is>
      </c>
      <c r="B17" s="15" t="n">
        <v>227.29</v>
      </c>
    </row>
    <row r="18">
      <c r="A18" s="14" t="inlineStr">
        <is>
          <t>OGDC</t>
        </is>
      </c>
      <c r="B18" s="15" t="n">
        <v>328.8</v>
      </c>
    </row>
    <row r="19">
      <c r="A19" s="14" t="inlineStr">
        <is>
          <t>LSEFSL</t>
        </is>
      </c>
      <c r="B19" s="15" t="n">
        <v>3.66</v>
      </c>
    </row>
    <row r="20">
      <c r="A20" s="14" t="inlineStr">
        <is>
          <t>PIBTL</t>
        </is>
      </c>
      <c r="B20" s="15" t="n">
        <v>16.5</v>
      </c>
    </row>
    <row r="21">
      <c r="A21" s="14" t="inlineStr">
        <is>
          <t>UNITY</t>
        </is>
      </c>
      <c r="B21" s="15" t="n">
        <v>8.93</v>
      </c>
    </row>
    <row r="22">
      <c r="A22" s="14" t="inlineStr">
        <is>
          <t>WAVESAPPR</t>
        </is>
      </c>
      <c r="B22" s="15" t="n">
        <v>0.53</v>
      </c>
    </row>
    <row r="23">
      <c r="A23" s="14" t="inlineStr">
        <is>
          <t>PACE</t>
        </is>
      </c>
      <c r="B23" s="15" t="n">
        <v>10.67</v>
      </c>
    </row>
    <row r="24">
      <c r="A24" s="14" t="inlineStr">
        <is>
          <t>SSGC</t>
        </is>
      </c>
      <c r="B24" s="15" t="n">
        <v>27.45</v>
      </c>
    </row>
    <row r="25">
      <c r="A25" s="14" t="inlineStr">
        <is>
          <t>TPL</t>
        </is>
      </c>
      <c r="B25" s="15" t="n">
        <v>23.85</v>
      </c>
    </row>
    <row r="26">
      <c r="A26" s="14" t="inlineStr">
        <is>
          <t>KOSM</t>
        </is>
      </c>
      <c r="B26" s="15" t="n">
        <v>5.56</v>
      </c>
    </row>
    <row r="27">
      <c r="A27" s="14" t="inlineStr">
        <is>
          <t>PIAHCLA</t>
        </is>
      </c>
      <c r="B27" s="15" t="n">
        <v>24.79</v>
      </c>
    </row>
    <row r="28">
      <c r="A28" s="14" t="inlineStr">
        <is>
          <t>ZUMA</t>
        </is>
      </c>
      <c r="B28" s="15" t="n">
        <v>22.59</v>
      </c>
    </row>
    <row r="29">
      <c r="A29" s="14" t="inlineStr">
        <is>
          <t>KEL</t>
        </is>
      </c>
      <c r="B29" s="15" t="n">
        <v>7.12</v>
      </c>
    </row>
    <row r="30">
      <c r="A30" s="14" t="inlineStr">
        <is>
          <t>IPAKXB</t>
        </is>
      </c>
      <c r="B30" s="15" t="n">
        <v>42.24</v>
      </c>
    </row>
    <row r="31">
      <c r="A31" s="14" t="inlineStr">
        <is>
          <t>DCL</t>
        </is>
      </c>
      <c r="B31" s="15" t="n">
        <v>10.34</v>
      </c>
    </row>
    <row r="32">
      <c r="A32" s="14" t="inlineStr">
        <is>
          <t>AKBL</t>
        </is>
      </c>
      <c r="B32" s="15" t="n">
        <v>108.66</v>
      </c>
    </row>
    <row r="33">
      <c r="A33" s="14" t="inlineStr">
        <is>
          <t>NRL</t>
        </is>
      </c>
      <c r="B33" s="15" t="n">
        <v>507.38</v>
      </c>
    </row>
    <row r="34">
      <c r="A34" s="14" t="inlineStr">
        <is>
          <t>BECO</t>
        </is>
      </c>
      <c r="B34" s="15" t="n">
        <v>4.69</v>
      </c>
    </row>
    <row r="35">
      <c r="A35" s="14" t="inlineStr">
        <is>
          <t>ITANZ</t>
        </is>
      </c>
      <c r="B35" s="15" t="n">
        <v>35.74</v>
      </c>
    </row>
    <row r="36">
      <c r="A36" s="14" t="inlineStr">
        <is>
          <t>TPLRF1</t>
        </is>
      </c>
      <c r="B36" s="15" t="n">
        <v>9.75</v>
      </c>
    </row>
    <row r="37">
      <c r="A37" s="14" t="inlineStr">
        <is>
          <t>SPSL</t>
        </is>
      </c>
      <c r="B37" s="15" t="n">
        <v>16.35</v>
      </c>
    </row>
    <row r="38">
      <c r="A38" s="14" t="inlineStr">
        <is>
          <t>DFML</t>
        </is>
      </c>
      <c r="B38" s="15" t="n">
        <v>16.98</v>
      </c>
    </row>
    <row r="39">
      <c r="A39" s="14" t="inlineStr">
        <is>
          <t>STL</t>
        </is>
      </c>
      <c r="B39" s="15" t="n">
        <v>25.57</v>
      </c>
    </row>
    <row r="40">
      <c r="A40" s="14" t="inlineStr">
        <is>
          <t>PTL</t>
        </is>
      </c>
      <c r="B40" s="15" t="n">
        <v>54.66</v>
      </c>
    </row>
    <row r="41">
      <c r="A41" s="14" t="inlineStr">
        <is>
          <t>PREMA</t>
        </is>
      </c>
      <c r="B41" s="15" t="n">
        <v>35.49</v>
      </c>
    </row>
    <row r="42">
      <c r="A42" s="14" t="inlineStr">
        <is>
          <t>PAEL</t>
        </is>
      </c>
      <c r="B42" s="15" t="n">
        <v>38.84</v>
      </c>
    </row>
    <row r="43">
      <c r="A43" s="14" t="inlineStr">
        <is>
          <t>ASCNC</t>
        </is>
      </c>
      <c r="B43" s="15" t="n">
        <v>9.9</v>
      </c>
    </row>
    <row r="44">
      <c r="A44" s="14" t="inlineStr">
        <is>
          <t>MACFL</t>
        </is>
      </c>
      <c r="B44" s="15" t="n">
        <v>59.95</v>
      </c>
    </row>
    <row r="45">
      <c r="A45" s="14" t="inlineStr">
        <is>
          <t>FCEPL</t>
        </is>
      </c>
      <c r="B45" s="15" t="n">
        <v>149.92</v>
      </c>
    </row>
    <row r="46">
      <c r="A46" s="14" t="inlineStr">
        <is>
          <t>AGHA</t>
        </is>
      </c>
      <c r="B46" s="15" t="n">
        <v>7</v>
      </c>
    </row>
    <row r="47">
      <c r="A47" s="14" t="inlineStr">
        <is>
          <t>FCSC</t>
        </is>
      </c>
      <c r="B47" s="15" t="n">
        <v>4.88</v>
      </c>
    </row>
    <row r="48">
      <c r="A48" s="14" t="inlineStr">
        <is>
          <t>LSECL</t>
        </is>
      </c>
      <c r="B48" s="15" t="n">
        <v>6.15</v>
      </c>
    </row>
    <row r="49">
      <c r="A49" s="14" t="inlineStr">
        <is>
          <t>PTC</t>
        </is>
      </c>
      <c r="B49" s="15" t="n">
        <v>67.31999999999999</v>
      </c>
    </row>
    <row r="50">
      <c r="A50" s="14" t="inlineStr">
        <is>
          <t>TPLP</t>
        </is>
      </c>
      <c r="B50" s="15" t="n">
        <v>14.46</v>
      </c>
    </row>
    <row r="51">
      <c r="A51" s="14" t="inlineStr">
        <is>
          <t>FCCL</t>
        </is>
      </c>
      <c r="B51" s="15" t="n">
        <v>54.48</v>
      </c>
    </row>
    <row r="52">
      <c r="A52" s="14" t="inlineStr">
        <is>
          <t>FCL</t>
        </is>
      </c>
      <c r="B52" s="15" t="n">
        <v>27.33</v>
      </c>
    </row>
    <row r="53">
      <c r="A53" s="14" t="inlineStr">
        <is>
          <t>DSIL</t>
        </is>
      </c>
      <c r="B53" s="15" t="n">
        <v>9.460000000000001</v>
      </c>
    </row>
    <row r="54">
      <c r="A54" s="14" t="inlineStr">
        <is>
          <t>LOTCHEM</t>
        </is>
      </c>
      <c r="B54" s="15" t="n">
        <v>26.71</v>
      </c>
    </row>
    <row r="55">
      <c r="A55" s="14" t="inlineStr">
        <is>
          <t>SLM</t>
        </is>
      </c>
      <c r="B55" s="15" t="n">
        <v>24.1</v>
      </c>
    </row>
    <row r="56">
      <c r="A56" s="14" t="inlineStr">
        <is>
          <t>MFL</t>
        </is>
      </c>
      <c r="B56" s="15" t="n">
        <v>43.35</v>
      </c>
    </row>
    <row r="57">
      <c r="A57" s="14" t="inlineStr">
        <is>
          <t>TPLT</t>
        </is>
      </c>
      <c r="B57" s="15" t="n">
        <v>32.99</v>
      </c>
    </row>
    <row r="58">
      <c r="A58" s="14" t="inlineStr">
        <is>
          <t>NETSOL</t>
        </is>
      </c>
      <c r="B58" s="15" t="n">
        <v>124.16</v>
      </c>
    </row>
    <row r="59">
      <c r="A59" s="14" t="inlineStr">
        <is>
          <t>GCIL</t>
        </is>
      </c>
      <c r="B59" s="15" t="n">
        <v>34.49</v>
      </c>
    </row>
    <row r="60">
      <c r="A60" s="14" t="inlineStr">
        <is>
          <t>WAVESAPP</t>
        </is>
      </c>
      <c r="B60" s="15" t="n">
        <v>8.9</v>
      </c>
    </row>
    <row r="61">
      <c r="A61" s="14" t="inlineStr">
        <is>
          <t>BAFL</t>
        </is>
      </c>
      <c r="B61" s="15" t="n">
        <v>56.24</v>
      </c>
    </row>
    <row r="62">
      <c r="A62" s="14" t="inlineStr">
        <is>
          <t>KAPCO</t>
        </is>
      </c>
      <c r="B62" s="15" t="n">
        <v>27</v>
      </c>
    </row>
    <row r="63">
      <c r="A63" s="14" t="inlineStr">
        <is>
          <t>PASLNC</t>
        </is>
      </c>
      <c r="B63" s="15" t="n">
        <v>2.39</v>
      </c>
    </row>
    <row r="64">
      <c r="A64" s="14" t="inlineStr">
        <is>
          <t>DGKC</t>
        </is>
      </c>
      <c r="B64" s="15" t="n">
        <v>206.53</v>
      </c>
    </row>
    <row r="65">
      <c r="A65" s="14" t="inlineStr">
        <is>
          <t>AICL</t>
        </is>
      </c>
      <c r="B65" s="15" t="n">
        <v>93.91</v>
      </c>
    </row>
    <row r="66">
      <c r="A66" s="14" t="inlineStr">
        <is>
          <t>AHCL</t>
        </is>
      </c>
      <c r="B66" s="15" t="n">
        <v>15.85</v>
      </c>
    </row>
    <row r="67">
      <c r="A67" s="14" t="inlineStr">
        <is>
          <t>PSO</t>
        </is>
      </c>
      <c r="B67" s="15" t="n">
        <v>360.7</v>
      </c>
    </row>
    <row r="68">
      <c r="A68" s="14" t="inlineStr">
        <is>
          <t>FFL</t>
        </is>
      </c>
      <c r="B68" s="15" t="n">
        <v>15.29</v>
      </c>
    </row>
    <row r="69">
      <c r="A69" s="14" t="inlineStr">
        <is>
          <t>ENGROH</t>
        </is>
      </c>
      <c r="B69" s="15" t="n">
        <v>270.82</v>
      </c>
    </row>
    <row r="70">
      <c r="A70" s="14" t="inlineStr">
        <is>
          <t>NPL</t>
        </is>
      </c>
      <c r="B70" s="15" t="n">
        <v>65.70999999999999</v>
      </c>
    </row>
    <row r="71">
      <c r="A71" s="14" t="inlineStr">
        <is>
          <t>SGPL</t>
        </is>
      </c>
      <c r="B71" s="15" t="n">
        <v>32.45</v>
      </c>
    </row>
    <row r="72">
      <c r="A72" s="14" t="inlineStr">
        <is>
          <t>SNGP</t>
        </is>
      </c>
      <c r="B72" s="15" t="n">
        <v>99.65000000000001</v>
      </c>
    </row>
    <row r="73">
      <c r="A73" s="14" t="inlineStr">
        <is>
          <t>WAVES</t>
        </is>
      </c>
      <c r="B73" s="15" t="n">
        <v>10</v>
      </c>
    </row>
    <row r="74">
      <c r="A74" s="14" t="inlineStr">
        <is>
          <t>ATRL</t>
        </is>
      </c>
      <c r="B74" s="15" t="n">
        <v>1106.52</v>
      </c>
    </row>
    <row r="75">
      <c r="A75" s="14" t="inlineStr">
        <is>
          <t>BERG</t>
        </is>
      </c>
      <c r="B75" s="15" t="n">
        <v>134.83</v>
      </c>
    </row>
    <row r="76">
      <c r="A76" s="14" t="inlineStr">
        <is>
          <t>NRSL</t>
        </is>
      </c>
      <c r="B76" s="15" t="n">
        <v>39.03</v>
      </c>
    </row>
    <row r="77">
      <c r="A77" s="14" t="inlineStr">
        <is>
          <t>CSIL</t>
        </is>
      </c>
      <c r="B77" s="15" t="n">
        <v>5.74</v>
      </c>
    </row>
    <row r="78">
      <c r="A78" s="14" t="inlineStr">
        <is>
          <t>NCPL</t>
        </is>
      </c>
      <c r="B78" s="15" t="n">
        <v>56.86</v>
      </c>
    </row>
    <row r="79">
      <c r="A79" s="14" t="inlineStr">
        <is>
          <t>SYS</t>
        </is>
      </c>
      <c r="B79" s="15" t="n">
        <v>126.98</v>
      </c>
    </row>
    <row r="80">
      <c r="A80" s="14" t="inlineStr">
        <is>
          <t>WASL</t>
        </is>
      </c>
      <c r="B80" s="15" t="n">
        <v>6.47</v>
      </c>
    </row>
    <row r="81">
      <c r="A81" s="14" t="inlineStr">
        <is>
          <t>BNL</t>
        </is>
      </c>
      <c r="B81" s="15" t="n">
        <v>6.15</v>
      </c>
    </row>
    <row r="82">
      <c r="A82" s="14" t="inlineStr">
        <is>
          <t>PPP</t>
        </is>
      </c>
      <c r="B82" s="15" t="n">
        <v>186.75</v>
      </c>
    </row>
    <row r="83">
      <c r="A83" s="14" t="inlineStr">
        <is>
          <t>LOADS</t>
        </is>
      </c>
      <c r="B83" s="15" t="n">
        <v>13.05</v>
      </c>
    </row>
    <row r="84">
      <c r="A84" s="14" t="inlineStr">
        <is>
          <t>SLGL</t>
        </is>
      </c>
      <c r="B84" s="15" t="n">
        <v>15.17</v>
      </c>
    </row>
    <row r="85">
      <c r="A85" s="14" t="inlineStr">
        <is>
          <t>TRG</t>
        </is>
      </c>
      <c r="B85" s="15" t="n">
        <v>54.61</v>
      </c>
    </row>
    <row r="86">
      <c r="A86" s="14" t="inlineStr">
        <is>
          <t>CLVL</t>
        </is>
      </c>
      <c r="B86" s="15" t="n">
        <v>49.43</v>
      </c>
    </row>
    <row r="87">
      <c r="A87" s="14" t="inlineStr">
        <is>
          <t>HUBC</t>
        </is>
      </c>
      <c r="B87" s="15" t="n">
        <v>207.44</v>
      </c>
    </row>
    <row r="88">
      <c r="A88" s="14" t="inlineStr">
        <is>
          <t>HRPL</t>
        </is>
      </c>
      <c r="B88" s="15" t="n">
        <v>23.61</v>
      </c>
    </row>
    <row r="89">
      <c r="A89" s="14" t="inlineStr">
        <is>
          <t>STPL</t>
        </is>
      </c>
      <c r="B89" s="15" t="n">
        <v>8.56</v>
      </c>
    </row>
    <row r="90">
      <c r="A90" s="14" t="inlineStr">
        <is>
          <t>NBP</t>
        </is>
      </c>
      <c r="B90" s="15" t="n">
        <v>186.77</v>
      </c>
    </row>
    <row r="91">
      <c r="A91" s="14" t="inlineStr">
        <is>
          <t>HUMNL</t>
        </is>
      </c>
      <c r="B91" s="15" t="n">
        <v>10.21</v>
      </c>
    </row>
    <row r="92">
      <c r="A92" s="14" t="inlineStr">
        <is>
          <t>KOIL</t>
        </is>
      </c>
      <c r="B92" s="15" t="n">
        <v>39.63</v>
      </c>
    </row>
    <row r="93">
      <c r="A93" s="14" t="inlineStr">
        <is>
          <t>GGL</t>
        </is>
      </c>
      <c r="B93" s="15" t="n">
        <v>22.05</v>
      </c>
    </row>
    <row r="94">
      <c r="A94" s="14" t="inlineStr">
        <is>
          <t>ASTL</t>
        </is>
      </c>
      <c r="B94" s="15" t="n">
        <v>15.13</v>
      </c>
    </row>
    <row r="95">
      <c r="A95" s="14" t="inlineStr">
        <is>
          <t>SELECT</t>
        </is>
      </c>
      <c r="B95" s="15" t="n">
        <v>27.94</v>
      </c>
    </row>
    <row r="96">
      <c r="A96" s="14" t="inlineStr">
        <is>
          <t>SEARL</t>
        </is>
      </c>
      <c r="B96" s="15" t="n">
        <v>84.40000000000001</v>
      </c>
    </row>
    <row r="97">
      <c r="A97" s="14" t="inlineStr">
        <is>
          <t>EPCLPS</t>
        </is>
      </c>
      <c r="B97" s="15" t="n">
        <v>13.4</v>
      </c>
    </row>
    <row r="98">
      <c r="A98" s="14" t="inlineStr">
        <is>
          <t>MZNPETF</t>
        </is>
      </c>
      <c r="B98" s="15" t="n">
        <v>17.74</v>
      </c>
    </row>
    <row r="99">
      <c r="A99" s="14" t="inlineStr">
        <is>
          <t>LEUL</t>
        </is>
      </c>
      <c r="B99" s="15" t="n">
        <v>79.73999999999999</v>
      </c>
    </row>
    <row r="100">
      <c r="A100" s="14" t="inlineStr">
        <is>
          <t>JSMFETF</t>
        </is>
      </c>
      <c r="B100" s="15" t="n">
        <v>11.06</v>
      </c>
    </row>
    <row r="101">
      <c r="A101" s="14" t="inlineStr">
        <is>
          <t>ZAL</t>
        </is>
      </c>
      <c r="B101" s="15" t="n">
        <v>39.24</v>
      </c>
    </row>
    <row r="102">
      <c r="A102" s="14" t="inlineStr">
        <is>
          <t>ILP</t>
        </is>
      </c>
      <c r="B102" s="15" t="n">
        <v>107.29</v>
      </c>
    </row>
    <row r="103">
      <c r="A103" s="14" t="inlineStr">
        <is>
          <t>UBL</t>
        </is>
      </c>
      <c r="B103" s="15" t="n">
        <v>440.83</v>
      </c>
    </row>
    <row r="104">
      <c r="A104" s="14" t="inlineStr">
        <is>
          <t>OBOY</t>
        </is>
      </c>
      <c r="B104" s="15" t="n">
        <v>17.68</v>
      </c>
    </row>
    <row r="105">
      <c r="A105" s="14" t="inlineStr">
        <is>
          <t>GDL</t>
        </is>
      </c>
      <c r="B105" s="15" t="n">
        <v>16.84</v>
      </c>
    </row>
    <row r="106">
      <c r="A106" s="14" t="inlineStr">
        <is>
          <t>TOMCL</t>
        </is>
      </c>
      <c r="B106" s="15" t="n">
        <v>35.52</v>
      </c>
    </row>
    <row r="107">
      <c r="A107" s="14" t="inlineStr">
        <is>
          <t>EFERT</t>
        </is>
      </c>
      <c r="B107" s="15" t="n">
        <v>190.93</v>
      </c>
    </row>
    <row r="108">
      <c r="A108" s="14" t="inlineStr">
        <is>
          <t>NML</t>
        </is>
      </c>
      <c r="B108" s="15" t="n">
        <v>140.18</v>
      </c>
    </row>
    <row r="109">
      <c r="A109" s="14" t="inlineStr">
        <is>
          <t>NICL</t>
        </is>
      </c>
      <c r="B109" s="15" t="n">
        <v>266.18</v>
      </c>
    </row>
    <row r="110">
      <c r="A110" s="14" t="inlineStr">
        <is>
          <t>TRSM</t>
        </is>
      </c>
      <c r="B110" s="15" t="n">
        <v>15.95</v>
      </c>
    </row>
    <row r="111">
      <c r="A111" s="14" t="inlineStr">
        <is>
          <t>DCR</t>
        </is>
      </c>
      <c r="B111" s="15" t="n">
        <v>40.42</v>
      </c>
    </row>
    <row r="112">
      <c r="A112" s="14" t="inlineStr">
        <is>
          <t>TREET</t>
        </is>
      </c>
      <c r="B112" s="15" t="n">
        <v>22.87</v>
      </c>
    </row>
    <row r="113">
      <c r="A113" s="14" t="inlineStr">
        <is>
          <t>HCAR</t>
        </is>
      </c>
      <c r="B113" s="15" t="n">
        <v>235.35</v>
      </c>
    </row>
    <row r="114">
      <c r="A114" s="14" t="inlineStr">
        <is>
          <t>YOUW</t>
        </is>
      </c>
      <c r="B114" s="15" t="n">
        <v>5.14</v>
      </c>
    </row>
    <row r="115">
      <c r="A115" s="14" t="inlineStr">
        <is>
          <t>JSBL</t>
        </is>
      </c>
      <c r="B115" s="15" t="n">
        <v>12.71</v>
      </c>
    </row>
    <row r="116">
      <c r="A116" s="14" t="inlineStr">
        <is>
          <t>BML</t>
        </is>
      </c>
      <c r="B116" s="15" t="n">
        <v>55.41</v>
      </c>
    </row>
    <row r="117">
      <c r="A117" s="14" t="inlineStr">
        <is>
          <t>CLOV</t>
        </is>
      </c>
      <c r="B117" s="15" t="n">
        <v>6.49</v>
      </c>
    </row>
    <row r="118">
      <c r="A118" s="14" t="inlineStr">
        <is>
          <t>AIRLINK</t>
        </is>
      </c>
      <c r="B118" s="15" t="n">
        <v>132.64</v>
      </c>
    </row>
    <row r="119">
      <c r="A119" s="14" t="inlineStr">
        <is>
          <t>BAHLXD</t>
        </is>
      </c>
      <c r="B119" s="15" t="n">
        <v>159.87</v>
      </c>
    </row>
    <row r="120">
      <c r="A120" s="14" t="inlineStr">
        <is>
          <t>QTECH</t>
        </is>
      </c>
      <c r="B120" s="15" t="n">
        <v>40.24</v>
      </c>
    </row>
    <row r="121">
      <c r="A121" s="14" t="inlineStr">
        <is>
          <t>ICIBL</t>
        </is>
      </c>
      <c r="B121" s="15" t="n">
        <v>17.66</v>
      </c>
    </row>
    <row r="122">
      <c r="A122" s="14" t="inlineStr">
        <is>
          <t>MIIETFXD</t>
        </is>
      </c>
      <c r="B122" s="15" t="n">
        <v>16.53</v>
      </c>
    </row>
    <row r="123">
      <c r="A123" s="14" t="inlineStr">
        <is>
          <t>EPCL</t>
        </is>
      </c>
      <c r="B123" s="15" t="n">
        <v>34.68</v>
      </c>
    </row>
    <row r="124">
      <c r="A124" s="14" t="inlineStr">
        <is>
          <t>SYM</t>
        </is>
      </c>
      <c r="B124" s="15" t="n">
        <v>12.82</v>
      </c>
    </row>
    <row r="125">
      <c r="A125" s="14" t="inlineStr">
        <is>
          <t>BLUEX</t>
        </is>
      </c>
      <c r="B125" s="15" t="n">
        <v>6.67</v>
      </c>
    </row>
    <row r="126">
      <c r="A126" s="14" t="inlineStr">
        <is>
          <t>PGLC</t>
        </is>
      </c>
      <c r="B126" s="15" t="n">
        <v>18.96</v>
      </c>
    </row>
    <row r="127">
      <c r="A127" s="14" t="inlineStr">
        <is>
          <t>POWER</t>
        </is>
      </c>
      <c r="B127" s="15" t="n">
        <v>22.49</v>
      </c>
    </row>
    <row r="128">
      <c r="A128" s="14" t="inlineStr">
        <is>
          <t>FDPL</t>
        </is>
      </c>
      <c r="B128" s="15" t="n">
        <v>4.67</v>
      </c>
    </row>
    <row r="129">
      <c r="A129" s="14" t="inlineStr">
        <is>
          <t>LSEVL</t>
        </is>
      </c>
      <c r="B129" s="15" t="n">
        <v>12.81</v>
      </c>
    </row>
    <row r="130">
      <c r="A130" s="14" t="inlineStr">
        <is>
          <t>DBCINC</t>
        </is>
      </c>
      <c r="B130" s="15" t="n">
        <v>12.02</v>
      </c>
    </row>
    <row r="131">
      <c r="A131" s="14" t="inlineStr">
        <is>
          <t>DSLNC</t>
        </is>
      </c>
      <c r="B131" s="15" t="n">
        <v>4.73</v>
      </c>
    </row>
    <row r="132">
      <c r="A132" s="14" t="inlineStr">
        <is>
          <t>DOL</t>
        </is>
      </c>
      <c r="B132" s="15" t="n">
        <v>29.49</v>
      </c>
    </row>
    <row r="133">
      <c r="A133" s="14" t="inlineStr">
        <is>
          <t>MEBL</t>
        </is>
      </c>
      <c r="B133" s="15" t="n">
        <v>565.46</v>
      </c>
    </row>
    <row r="134">
      <c r="A134" s="14" t="inlineStr">
        <is>
          <t>GWLC</t>
        </is>
      </c>
      <c r="B134" s="15" t="n">
        <v>53.92</v>
      </c>
    </row>
    <row r="135">
      <c r="A135" s="14" t="inlineStr">
        <is>
          <t>IMS</t>
        </is>
      </c>
      <c r="B135" s="15" t="n">
        <v>20.38</v>
      </c>
    </row>
    <row r="136">
      <c r="A136" s="14" t="inlineStr">
        <is>
          <t>PSX</t>
        </is>
      </c>
      <c r="B136" s="15" t="n">
        <v>49.37</v>
      </c>
    </row>
    <row r="137">
      <c r="A137" s="14" t="inlineStr">
        <is>
          <t>BPL</t>
        </is>
      </c>
      <c r="B137" s="15" t="n">
        <v>54.07</v>
      </c>
    </row>
    <row r="138">
      <c r="A138" s="14" t="inlineStr">
        <is>
          <t>GRR</t>
        </is>
      </c>
      <c r="B138" s="15" t="n">
        <v>22.53</v>
      </c>
    </row>
    <row r="139">
      <c r="A139" s="14" t="inlineStr">
        <is>
          <t>HIRATNC</t>
        </is>
      </c>
      <c r="B139" s="15" t="n">
        <v>6.21</v>
      </c>
    </row>
    <row r="140">
      <c r="A140" s="14" t="inlineStr">
        <is>
          <t>ALAC</t>
        </is>
      </c>
      <c r="B140" s="15" t="n">
        <v>20.23</v>
      </c>
    </row>
    <row r="141">
      <c r="A141" s="14" t="inlineStr">
        <is>
          <t>LUCK</t>
        </is>
      </c>
      <c r="B141" s="15" t="n">
        <v>433.12</v>
      </c>
    </row>
    <row r="142">
      <c r="A142" s="14" t="inlineStr">
        <is>
          <t>GATM</t>
        </is>
      </c>
      <c r="B142" s="15" t="n">
        <v>23.44</v>
      </c>
    </row>
    <row r="143">
      <c r="A143" s="14" t="inlineStr">
        <is>
          <t>TBL</t>
        </is>
      </c>
      <c r="B143" s="15" t="n">
        <v>9.359999999999999</v>
      </c>
    </row>
    <row r="144">
      <c r="A144" s="14" t="inlineStr">
        <is>
          <t>JVDC</t>
        </is>
      </c>
      <c r="B144" s="15" t="n">
        <v>145.28</v>
      </c>
    </row>
    <row r="145">
      <c r="A145" s="14" t="inlineStr">
        <is>
          <t>AMTEXNC</t>
        </is>
      </c>
      <c r="B145" s="15" t="n">
        <v>4</v>
      </c>
    </row>
    <row r="146">
      <c r="A146" s="14" t="inlineStr">
        <is>
          <t>MSCL</t>
        </is>
      </c>
      <c r="B146" s="15" t="n">
        <v>23.04</v>
      </c>
    </row>
    <row r="147">
      <c r="A147" s="14" t="inlineStr">
        <is>
          <t>HICLXB</t>
        </is>
      </c>
      <c r="B147" s="15" t="n">
        <v>9.029999999999999</v>
      </c>
    </row>
    <row r="148">
      <c r="A148" s="14" t="inlineStr">
        <is>
          <t>SBL</t>
        </is>
      </c>
      <c r="B148" s="15" t="n">
        <v>13.74</v>
      </c>
    </row>
    <row r="149">
      <c r="A149" s="14" t="inlineStr">
        <is>
          <t>KOHC</t>
        </is>
      </c>
      <c r="B149" s="15" t="n">
        <v>92.69</v>
      </c>
    </row>
    <row r="150">
      <c r="A150" s="14" t="inlineStr">
        <is>
          <t>ALTN</t>
        </is>
      </c>
      <c r="B150" s="15" t="n">
        <v>7.09</v>
      </c>
    </row>
    <row r="151">
      <c r="A151" s="14" t="inlineStr">
        <is>
          <t>KML</t>
        </is>
      </c>
      <c r="B151" s="15" t="n">
        <v>9.01</v>
      </c>
    </row>
    <row r="152">
      <c r="A152" s="14" t="inlineStr">
        <is>
          <t>GAL</t>
        </is>
      </c>
      <c r="B152" s="15" t="n">
        <v>646.5700000000001</v>
      </c>
    </row>
    <row r="153">
      <c r="A153" s="14" t="inlineStr">
        <is>
          <t>DFSM</t>
        </is>
      </c>
      <c r="B153" s="15" t="n">
        <v>13.63</v>
      </c>
    </row>
    <row r="154">
      <c r="A154" s="14" t="inlineStr">
        <is>
          <t>HBL</t>
        </is>
      </c>
      <c r="B154" s="15" t="n">
        <v>313.68</v>
      </c>
    </row>
    <row r="155">
      <c r="A155" s="14" t="inlineStr">
        <is>
          <t>ISL</t>
        </is>
      </c>
      <c r="B155" s="15" t="n">
        <v>89.75</v>
      </c>
    </row>
    <row r="156">
      <c r="A156" s="14" t="inlineStr">
        <is>
          <t>TOWL</t>
        </is>
      </c>
      <c r="B156" s="15" t="n">
        <v>190.42</v>
      </c>
    </row>
    <row r="157">
      <c r="A157" s="14" t="inlineStr">
        <is>
          <t>GUSMWU</t>
        </is>
      </c>
      <c r="B157" s="15" t="n">
        <v>10.68</v>
      </c>
    </row>
    <row r="158">
      <c r="A158" s="14" t="inlineStr">
        <is>
          <t>DIIL</t>
        </is>
      </c>
      <c r="B158" s="15" t="n">
        <v>77.06999999999999</v>
      </c>
    </row>
    <row r="159">
      <c r="A159" s="14" t="inlineStr">
        <is>
          <t>FABL</t>
        </is>
      </c>
      <c r="B159" s="15" t="n">
        <v>94.48</v>
      </c>
    </row>
    <row r="160">
      <c r="A160" s="14" t="inlineStr">
        <is>
          <t>ITTEFAQ</t>
        </is>
      </c>
      <c r="B160" s="15" t="n">
        <v>8.48</v>
      </c>
    </row>
    <row r="161">
      <c r="A161" s="14" t="inlineStr">
        <is>
          <t>UBLPETF</t>
        </is>
      </c>
      <c r="B161" s="15" t="n">
        <v>29.05</v>
      </c>
    </row>
    <row r="162">
      <c r="A162" s="14" t="inlineStr">
        <is>
          <t>BBFL</t>
        </is>
      </c>
      <c r="B162" s="15" t="n">
        <v>41.83</v>
      </c>
    </row>
    <row r="163">
      <c r="A163" s="14" t="inlineStr">
        <is>
          <t>PAKRI</t>
        </is>
      </c>
      <c r="B163" s="15" t="n">
        <v>16.48</v>
      </c>
    </row>
    <row r="164">
      <c r="A164" s="14" t="inlineStr">
        <is>
          <t>FFC</t>
        </is>
      </c>
      <c r="B164" s="15" t="n">
        <v>548.11</v>
      </c>
    </row>
    <row r="165">
      <c r="A165" s="14" t="inlineStr">
        <is>
          <t>ADMM</t>
        </is>
      </c>
      <c r="B165" s="15" t="n">
        <v>55.81</v>
      </c>
    </row>
    <row r="166">
      <c r="A166" s="14" t="inlineStr">
        <is>
          <t>BIPLXD</t>
        </is>
      </c>
      <c r="B166" s="15" t="n">
        <v>25.99</v>
      </c>
    </row>
    <row r="167">
      <c r="A167" s="14" t="inlineStr">
        <is>
          <t>BCL</t>
        </is>
      </c>
      <c r="B167" s="15" t="n">
        <v>84.84999999999999</v>
      </c>
    </row>
    <row r="168">
      <c r="A168" s="14" t="inlineStr">
        <is>
          <t>CPHL</t>
        </is>
      </c>
      <c r="B168" s="15" t="n">
        <v>75.18000000000001</v>
      </c>
    </row>
    <row r="169">
      <c r="A169" s="14" t="inlineStr">
        <is>
          <t>RPL</t>
        </is>
      </c>
      <c r="B169" s="15" t="n">
        <v>15.45</v>
      </c>
    </row>
    <row r="170">
      <c r="A170" s="14" t="inlineStr">
        <is>
          <t>AVN</t>
        </is>
      </c>
      <c r="B170" s="15" t="n">
        <v>29.01</v>
      </c>
    </row>
    <row r="171">
      <c r="A171" s="14" t="inlineStr">
        <is>
          <t>GCWL</t>
        </is>
      </c>
      <c r="B171" s="15" t="n">
        <v>15.32</v>
      </c>
    </row>
    <row r="172">
      <c r="A172" s="14" t="inlineStr">
        <is>
          <t>MWMP</t>
        </is>
      </c>
      <c r="B172" s="15" t="n">
        <v>68.97</v>
      </c>
    </row>
    <row r="173">
      <c r="A173" s="14" t="inlineStr">
        <is>
          <t>SPEL</t>
        </is>
      </c>
      <c r="B173" s="15" t="n">
        <v>43.51</v>
      </c>
    </row>
    <row r="174">
      <c r="A174" s="14" t="inlineStr">
        <is>
          <t>IREIT</t>
        </is>
      </c>
      <c r="B174" s="15" t="n">
        <v>8</v>
      </c>
    </row>
    <row r="175">
      <c r="A175" s="14" t="inlineStr">
        <is>
          <t>MARI</t>
        </is>
      </c>
      <c r="B175" s="15" t="n">
        <v>664.49</v>
      </c>
    </row>
    <row r="176">
      <c r="A176" s="14" t="inlineStr">
        <is>
          <t>FTSM</t>
        </is>
      </c>
      <c r="B176" s="15" t="n">
        <v>47.33</v>
      </c>
    </row>
    <row r="177">
      <c r="A177" s="14" t="inlineStr">
        <is>
          <t>FFLM</t>
        </is>
      </c>
      <c r="B177" s="15" t="n">
        <v>13.42</v>
      </c>
    </row>
    <row r="178">
      <c r="A178" s="14" t="inlineStr">
        <is>
          <t>MTL</t>
        </is>
      </c>
      <c r="B178" s="15" t="n">
        <v>305.05</v>
      </c>
    </row>
    <row r="179">
      <c r="A179" s="14" t="inlineStr">
        <is>
          <t>FANM</t>
        </is>
      </c>
      <c r="B179" s="15" t="n">
        <v>10.43</v>
      </c>
    </row>
    <row r="180">
      <c r="A180" s="14" t="inlineStr">
        <is>
          <t>BAPL</t>
        </is>
      </c>
      <c r="B180" s="15" t="n">
        <v>37.96</v>
      </c>
    </row>
    <row r="181">
      <c r="A181" s="14" t="inlineStr">
        <is>
          <t>INIL</t>
        </is>
      </c>
      <c r="B181" s="15" t="n">
        <v>166.15</v>
      </c>
    </row>
    <row r="182">
      <c r="A182" s="14" t="inlineStr">
        <is>
          <t>BGL</t>
        </is>
      </c>
      <c r="B182" s="15" t="n">
        <v>10.03</v>
      </c>
    </row>
    <row r="183">
      <c r="A183" s="14" t="inlineStr">
        <is>
          <t>CEPB</t>
        </is>
      </c>
      <c r="B183" s="15" t="n">
        <v>27.26</v>
      </c>
    </row>
    <row r="184">
      <c r="A184" s="14" t="inlineStr">
        <is>
          <t>STCL</t>
        </is>
      </c>
      <c r="B184" s="15" t="n">
        <v>10.12</v>
      </c>
    </row>
    <row r="185">
      <c r="A185" s="14" t="inlineStr">
        <is>
          <t>FIBLM</t>
        </is>
      </c>
      <c r="B185" s="15" t="n">
        <v>15.88</v>
      </c>
    </row>
    <row r="186">
      <c r="A186" s="14" t="inlineStr">
        <is>
          <t>SLYTWU</t>
        </is>
      </c>
      <c r="B186" s="15" t="n">
        <v>19.47</v>
      </c>
    </row>
    <row r="187">
      <c r="A187" s="14" t="inlineStr">
        <is>
          <t>MUGHAL</t>
        </is>
      </c>
      <c r="B187" s="15" t="n">
        <v>77.43000000000001</v>
      </c>
    </row>
    <row r="188">
      <c r="A188" s="14" t="inlineStr">
        <is>
          <t>BUXL</t>
        </is>
      </c>
      <c r="B188" s="15" t="n">
        <v>989.14</v>
      </c>
    </row>
    <row r="189">
      <c r="A189" s="14" t="inlineStr">
        <is>
          <t>MSOT</t>
        </is>
      </c>
      <c r="B189" s="15" t="n">
        <v>180.45</v>
      </c>
    </row>
    <row r="190">
      <c r="A190" s="14" t="inlineStr">
        <is>
          <t>TCORP</t>
        </is>
      </c>
      <c r="B190" s="15" t="n">
        <v>20.01</v>
      </c>
    </row>
    <row r="191">
      <c r="A191" s="14" t="inlineStr">
        <is>
          <t>OCTOPUS</t>
        </is>
      </c>
      <c r="B191" s="15" t="n">
        <v>28.47</v>
      </c>
    </row>
    <row r="192">
      <c r="A192" s="14" t="inlineStr">
        <is>
          <t>JATM</t>
        </is>
      </c>
      <c r="B192" s="15" t="n">
        <v>42.68</v>
      </c>
    </row>
    <row r="193">
      <c r="A193" s="14" t="inlineStr">
        <is>
          <t>SNBL</t>
        </is>
      </c>
      <c r="B193" s="15" t="n">
        <v>20.74</v>
      </c>
    </row>
    <row r="194">
      <c r="A194" s="14" t="inlineStr">
        <is>
          <t>CPPL</t>
        </is>
      </c>
      <c r="B194" s="15" t="n">
        <v>103.03</v>
      </c>
    </row>
    <row r="195">
      <c r="A195" s="14" t="inlineStr">
        <is>
          <t>BFAGRO</t>
        </is>
      </c>
      <c r="B195" s="15" t="n">
        <v>32.3</v>
      </c>
    </row>
    <row r="196">
      <c r="A196" s="14" t="inlineStr">
        <is>
          <t>AKDSL</t>
        </is>
      </c>
      <c r="B196" s="15" t="n">
        <v>37.22</v>
      </c>
    </row>
    <row r="197">
      <c r="A197" s="14" t="inlineStr">
        <is>
          <t>CHBL</t>
        </is>
      </c>
      <c r="B197" s="15" t="n">
        <v>9</v>
      </c>
    </row>
    <row r="198">
      <c r="A198" s="14" t="inlineStr">
        <is>
          <t>SRVI</t>
        </is>
      </c>
      <c r="B198" s="15" t="n">
        <v>189.64</v>
      </c>
    </row>
    <row r="199">
      <c r="A199" s="14" t="inlineStr">
        <is>
          <t>IMAGE</t>
        </is>
      </c>
      <c r="B199" s="15" t="n">
        <v>26.4</v>
      </c>
    </row>
    <row r="200">
      <c r="A200" s="14" t="inlineStr">
        <is>
          <t>CSAP</t>
        </is>
      </c>
      <c r="B200" s="15" t="n">
        <v>98.2</v>
      </c>
    </row>
    <row r="201">
      <c r="A201" s="14" t="inlineStr">
        <is>
          <t>GHGL</t>
        </is>
      </c>
      <c r="B201" s="15" t="n">
        <v>41.71</v>
      </c>
    </row>
    <row r="202">
      <c r="A202" s="14" t="inlineStr">
        <is>
          <t>GGGL</t>
        </is>
      </c>
      <c r="B202" s="15" t="n">
        <v>8.02</v>
      </c>
    </row>
    <row r="203">
      <c r="A203" s="14" t="inlineStr">
        <is>
          <t>GLAXOXD</t>
        </is>
      </c>
      <c r="B203" s="15" t="n">
        <v>323.01</v>
      </c>
    </row>
    <row r="204">
      <c r="A204" s="14" t="inlineStr">
        <is>
          <t>ANSM</t>
        </is>
      </c>
      <c r="B204" s="15" t="n">
        <v>26.04</v>
      </c>
    </row>
    <row r="205">
      <c r="A205" s="14" t="inlineStr">
        <is>
          <t>ANL</t>
        </is>
      </c>
      <c r="B205" s="15" t="n">
        <v>9.82</v>
      </c>
    </row>
    <row r="206">
      <c r="A206" s="14" t="inlineStr">
        <is>
          <t>UCAPM</t>
        </is>
      </c>
      <c r="B206" s="15" t="n">
        <v>6.21</v>
      </c>
    </row>
    <row r="207">
      <c r="A207" s="14" t="inlineStr">
        <is>
          <t>PPVCNC</t>
        </is>
      </c>
      <c r="B207" s="15" t="n">
        <v>38.04</v>
      </c>
    </row>
    <row r="208">
      <c r="A208" s="14" t="inlineStr">
        <is>
          <t>ECOP</t>
        </is>
      </c>
      <c r="B208" s="15" t="n">
        <v>49.03</v>
      </c>
    </row>
    <row r="209">
      <c r="A209" s="14" t="inlineStr">
        <is>
          <t>PAKQATAR</t>
        </is>
      </c>
      <c r="B209" s="15" t="n">
        <v>18.79</v>
      </c>
    </row>
    <row r="210">
      <c r="A210" s="14" t="inlineStr">
        <is>
          <t>TATM</t>
        </is>
      </c>
      <c r="B210" s="15" t="n">
        <v>155.97</v>
      </c>
    </row>
    <row r="211">
      <c r="A211" s="14" t="inlineStr">
        <is>
          <t>POL</t>
        </is>
      </c>
      <c r="B211" s="15" t="n">
        <v>730.21</v>
      </c>
    </row>
    <row r="212">
      <c r="A212" s="14" t="inlineStr">
        <is>
          <t>FATIMA</t>
        </is>
      </c>
      <c r="B212" s="15" t="n">
        <v>153.55</v>
      </c>
    </row>
    <row r="213">
      <c r="A213" s="14" t="inlineStr">
        <is>
          <t>PKGI</t>
        </is>
      </c>
      <c r="B213" s="15" t="n">
        <v>43.42</v>
      </c>
    </row>
    <row r="214">
      <c r="A214" s="14" t="inlineStr">
        <is>
          <t>KTML</t>
        </is>
      </c>
      <c r="B214" s="15" t="n">
        <v>42.85</v>
      </c>
    </row>
    <row r="215">
      <c r="A215" s="14" t="inlineStr">
        <is>
          <t>SPWL</t>
        </is>
      </c>
      <c r="B215" s="15" t="n">
        <v>8.470000000000001</v>
      </c>
    </row>
    <row r="216">
      <c r="A216" s="14" t="inlineStr">
        <is>
          <t>KSBP</t>
        </is>
      </c>
      <c r="B216" s="15" t="n">
        <v>224.41</v>
      </c>
    </row>
    <row r="217">
      <c r="A217" s="14" t="inlineStr">
        <is>
          <t>INDU</t>
        </is>
      </c>
      <c r="B217" s="15" t="n">
        <v>1898.91</v>
      </c>
    </row>
    <row r="218">
      <c r="A218" s="14" t="inlineStr">
        <is>
          <t>WAFI</t>
        </is>
      </c>
      <c r="B218" s="15" t="n">
        <v>167.78</v>
      </c>
    </row>
    <row r="219">
      <c r="A219" s="14" t="inlineStr">
        <is>
          <t>NEXT</t>
        </is>
      </c>
      <c r="B219" s="15" t="n">
        <v>14.5</v>
      </c>
    </row>
    <row r="220">
      <c r="A220" s="14" t="inlineStr">
        <is>
          <t>AGPXD</t>
        </is>
      </c>
      <c r="B220" s="15" t="n">
        <v>163.83</v>
      </c>
    </row>
    <row r="221">
      <c r="A221" s="14" t="inlineStr">
        <is>
          <t>SHDT</t>
        </is>
      </c>
      <c r="B221" s="15" t="n">
        <v>55.64</v>
      </c>
    </row>
    <row r="222">
      <c r="A222" s="14" t="inlineStr">
        <is>
          <t>CJPLWU</t>
        </is>
      </c>
      <c r="B222" s="15" t="n">
        <v>19.22</v>
      </c>
    </row>
    <row r="223">
      <c r="A223" s="14" t="inlineStr">
        <is>
          <t>KOHTM</t>
        </is>
      </c>
      <c r="B223" s="15" t="n">
        <v>115.27</v>
      </c>
    </row>
    <row r="224">
      <c r="A224" s="14" t="inlineStr">
        <is>
          <t>ASTM</t>
        </is>
      </c>
      <c r="B224" s="15" t="n">
        <v>118.31</v>
      </c>
    </row>
    <row r="225">
      <c r="A225" s="14" t="inlineStr">
        <is>
          <t>ESBLNC</t>
        </is>
      </c>
      <c r="B225" s="15" t="n">
        <v>10.21</v>
      </c>
    </row>
    <row r="226">
      <c r="A226" s="14" t="inlineStr">
        <is>
          <t>PIM</t>
        </is>
      </c>
      <c r="B226" s="15" t="n">
        <v>46.77</v>
      </c>
    </row>
    <row r="227">
      <c r="A227" s="14" t="inlineStr">
        <is>
          <t>WAHDAT</t>
        </is>
      </c>
      <c r="B227" s="15" t="n">
        <v>15.65</v>
      </c>
    </row>
    <row r="228">
      <c r="A228" s="14" t="inlineStr">
        <is>
          <t>PCAL</t>
        </is>
      </c>
      <c r="B228" s="15" t="n">
        <v>167.87</v>
      </c>
    </row>
    <row r="229">
      <c r="A229" s="14" t="inlineStr">
        <is>
          <t>CTM</t>
        </is>
      </c>
      <c r="B229" s="15" t="n">
        <v>6.67</v>
      </c>
    </row>
    <row r="230">
      <c r="A230" s="14" t="inlineStr">
        <is>
          <t>PICT</t>
        </is>
      </c>
      <c r="B230" s="15" t="n">
        <v>43.06</v>
      </c>
    </row>
    <row r="231">
      <c r="A231" s="14" t="inlineStr">
        <is>
          <t>AHL</t>
        </is>
      </c>
      <c r="B231" s="15" t="n">
        <v>135</v>
      </c>
    </row>
    <row r="232">
      <c r="A232" s="14" t="inlineStr">
        <is>
          <t>HTL</t>
        </is>
      </c>
      <c r="B232" s="15" t="n">
        <v>40.05</v>
      </c>
    </row>
    <row r="233">
      <c r="A233" s="14" t="inlineStr">
        <is>
          <t>AGL</t>
        </is>
      </c>
      <c r="B233" s="15" t="n">
        <v>43.94</v>
      </c>
    </row>
    <row r="234">
      <c r="A234" s="14" t="inlineStr">
        <is>
          <t>IBLHL</t>
        </is>
      </c>
      <c r="B234" s="15" t="n">
        <v>46.05</v>
      </c>
    </row>
    <row r="235">
      <c r="A235" s="14" t="inlineStr">
        <is>
          <t>FEM</t>
        </is>
      </c>
      <c r="B235" s="15" t="n">
        <v>11.87</v>
      </c>
    </row>
    <row r="236">
      <c r="A236" s="14" t="inlineStr">
        <is>
          <t>SGF</t>
        </is>
      </c>
      <c r="B236" s="15" t="n">
        <v>116.53</v>
      </c>
    </row>
    <row r="237">
      <c r="A237" s="14" t="inlineStr">
        <is>
          <t>BFBIO</t>
        </is>
      </c>
      <c r="B237" s="15" t="n">
        <v>129.68</v>
      </c>
    </row>
    <row r="238">
      <c r="A238" s="14" t="inlineStr">
        <is>
          <t>DLL</t>
        </is>
      </c>
      <c r="B238" s="15" t="n">
        <v>48</v>
      </c>
    </row>
    <row r="239">
      <c r="A239" s="14" t="inlineStr">
        <is>
          <t>NATF</t>
        </is>
      </c>
      <c r="B239" s="15" t="n">
        <v>370.96</v>
      </c>
    </row>
    <row r="240">
      <c r="A240" s="14" t="inlineStr">
        <is>
          <t>KOHP</t>
        </is>
      </c>
      <c r="B240" s="15" t="n">
        <v>21.94</v>
      </c>
    </row>
    <row r="241">
      <c r="A241" s="14" t="inlineStr">
        <is>
          <t>MEHT</t>
        </is>
      </c>
      <c r="B241" s="15" t="n">
        <v>139.64</v>
      </c>
    </row>
    <row r="242">
      <c r="A242" s="14" t="inlineStr">
        <is>
          <t>CLCPS</t>
        </is>
      </c>
      <c r="B242" s="15" t="n">
        <v>3.51</v>
      </c>
    </row>
    <row r="243">
      <c r="A243" s="14" t="inlineStr">
        <is>
          <t>PIOC</t>
        </is>
      </c>
      <c r="B243" s="15" t="n">
        <v>258.7</v>
      </c>
    </row>
    <row r="244">
      <c r="A244" s="14" t="inlineStr">
        <is>
          <t>ZAHID</t>
        </is>
      </c>
      <c r="B244" s="15" t="n">
        <v>70.34999999999999</v>
      </c>
    </row>
    <row r="245">
      <c r="A245" s="14" t="inlineStr">
        <is>
          <t>EMCO</t>
        </is>
      </c>
      <c r="B245" s="15" t="n">
        <v>40.32</v>
      </c>
    </row>
    <row r="246">
      <c r="A246" s="14" t="inlineStr">
        <is>
          <t>FECTC</t>
        </is>
      </c>
      <c r="B246" s="15" t="n">
        <v>103.81</v>
      </c>
    </row>
    <row r="247">
      <c r="A247" s="14" t="inlineStr">
        <is>
          <t>PAKD</t>
        </is>
      </c>
      <c r="B247" s="15" t="n">
        <v>123.88</v>
      </c>
    </row>
    <row r="248">
      <c r="A248" s="14" t="inlineStr">
        <is>
          <t>JSCL</t>
        </is>
      </c>
      <c r="B248" s="15" t="n">
        <v>21.4</v>
      </c>
    </row>
    <row r="249">
      <c r="A249" s="14" t="inlineStr">
        <is>
          <t>CHCC</t>
        </is>
      </c>
      <c r="B249" s="15" t="n">
        <v>299.85</v>
      </c>
    </row>
    <row r="250">
      <c r="A250" s="14" t="inlineStr">
        <is>
          <t>DAAG</t>
        </is>
      </c>
      <c r="B250" s="15" t="n">
        <v>96.83</v>
      </c>
    </row>
    <row r="251">
      <c r="A251" s="14" t="inlineStr">
        <is>
          <t>LCI</t>
        </is>
      </c>
      <c r="B251" s="15" t="n">
        <v>217.1</v>
      </c>
    </row>
    <row r="252">
      <c r="A252" s="14" t="inlineStr">
        <is>
          <t>AGIL</t>
        </is>
      </c>
      <c r="B252" s="15" t="n">
        <v>160.35</v>
      </c>
    </row>
    <row r="253">
      <c r="A253" s="14" t="inlineStr">
        <is>
          <t>DEL</t>
        </is>
      </c>
      <c r="B253" s="15" t="n">
        <v>18.65</v>
      </c>
    </row>
    <row r="254">
      <c r="A254" s="14" t="inlineStr">
        <is>
          <t>RUPL</t>
        </is>
      </c>
      <c r="B254" s="15" t="n">
        <v>30.97</v>
      </c>
    </row>
    <row r="255">
      <c r="A255" s="14" t="inlineStr">
        <is>
          <t>HMB</t>
        </is>
      </c>
      <c r="B255" s="15" t="n">
        <v>100.73</v>
      </c>
    </row>
    <row r="256">
      <c r="A256" s="14" t="inlineStr">
        <is>
          <t>GTYR</t>
        </is>
      </c>
      <c r="B256" s="15" t="n">
        <v>28.69</v>
      </c>
    </row>
    <row r="257">
      <c r="A257" s="14" t="inlineStr">
        <is>
          <t>PQGTL</t>
        </is>
      </c>
      <c r="B257" s="15" t="n">
        <v>13.22</v>
      </c>
    </row>
    <row r="258">
      <c r="A258" s="14" t="inlineStr">
        <is>
          <t>FLYNG</t>
        </is>
      </c>
      <c r="B258" s="15" t="n">
        <v>40.45</v>
      </c>
    </row>
    <row r="259">
      <c r="A259" s="14" t="inlineStr">
        <is>
          <t>HIFA</t>
        </is>
      </c>
      <c r="B259" s="15" t="n">
        <v>5.04</v>
      </c>
    </row>
    <row r="260">
      <c r="A260" s="14" t="inlineStr">
        <is>
          <t>APL</t>
        </is>
      </c>
      <c r="B260" s="15" t="n">
        <v>584.99</v>
      </c>
    </row>
    <row r="261">
      <c r="A261" s="14" t="inlineStr">
        <is>
          <t>786</t>
        </is>
      </c>
      <c r="B261" s="15" t="n">
        <v>22.41</v>
      </c>
    </row>
    <row r="262">
      <c r="A262" s="14" t="inlineStr">
        <is>
          <t>NCL</t>
        </is>
      </c>
      <c r="B262" s="15" t="n">
        <v>36.27</v>
      </c>
    </row>
    <row r="263">
      <c r="A263" s="14" t="inlineStr">
        <is>
          <t>HUSI</t>
        </is>
      </c>
      <c r="B263" s="15" t="n">
        <v>53.19</v>
      </c>
    </row>
    <row r="264">
      <c r="A264" s="14" t="inlineStr">
        <is>
          <t>HWQSNC</t>
        </is>
      </c>
      <c r="B264" s="15" t="n">
        <v>18.69</v>
      </c>
    </row>
    <row r="265">
      <c r="A265" s="14" t="inlineStr">
        <is>
          <t>ZTL</t>
        </is>
      </c>
      <c r="B265" s="15" t="n">
        <v>16.94</v>
      </c>
    </row>
    <row r="266">
      <c r="A266" s="14" t="inlineStr">
        <is>
          <t>DADX</t>
        </is>
      </c>
      <c r="B266" s="15" t="n">
        <v>116.32</v>
      </c>
    </row>
    <row r="267">
      <c r="A267" s="14" t="inlineStr">
        <is>
          <t>BFMOD</t>
        </is>
      </c>
      <c r="B267" s="15" t="n">
        <v>23.32</v>
      </c>
    </row>
    <row r="268">
      <c r="A268" s="14" t="inlineStr">
        <is>
          <t>GHNI</t>
        </is>
      </c>
      <c r="B268" s="15" t="n">
        <v>1292.08</v>
      </c>
    </row>
    <row r="269">
      <c r="A269" s="14" t="inlineStr">
        <is>
          <t>AGSML</t>
        </is>
      </c>
      <c r="B269" s="15" t="n">
        <v>8.890000000000001</v>
      </c>
    </row>
    <row r="270">
      <c r="A270" s="14" t="inlineStr">
        <is>
          <t>SAZEW</t>
        </is>
      </c>
      <c r="B270" s="15" t="n">
        <v>1850.13</v>
      </c>
    </row>
    <row r="271">
      <c r="A271" s="14" t="inlineStr">
        <is>
          <t>SKRSNC</t>
        </is>
      </c>
      <c r="B271" s="15" t="n">
        <v>27.2</v>
      </c>
    </row>
    <row r="272">
      <c r="A272" s="14" t="inlineStr">
        <is>
          <t>NITGETFXD</t>
        </is>
      </c>
      <c r="B272" s="15" t="n">
        <v>34</v>
      </c>
    </row>
    <row r="273">
      <c r="A273" s="14" t="inlineStr">
        <is>
          <t>MCB</t>
        </is>
      </c>
      <c r="B273" s="15" t="n">
        <v>399.58</v>
      </c>
    </row>
    <row r="274">
      <c r="A274" s="14" t="inlineStr">
        <is>
          <t>JLICLXD</t>
        </is>
      </c>
      <c r="B274" s="15" t="n">
        <v>113.05</v>
      </c>
    </row>
    <row r="275">
      <c r="A275" s="14" t="inlineStr">
        <is>
          <t>ARUJNC</t>
        </is>
      </c>
      <c r="B275" s="15" t="n">
        <v>10.93</v>
      </c>
    </row>
    <row r="276">
      <c r="A276" s="14" t="inlineStr">
        <is>
          <t>PINL</t>
        </is>
      </c>
      <c r="B276" s="15" t="n">
        <v>11.5</v>
      </c>
    </row>
    <row r="277">
      <c r="A277" s="14" t="inlineStr">
        <is>
          <t>EPQL</t>
        </is>
      </c>
      <c r="B277" s="15" t="n">
        <v>24.16</v>
      </c>
    </row>
    <row r="278">
      <c r="A278" s="14" t="inlineStr">
        <is>
          <t>SHNI</t>
        </is>
      </c>
      <c r="B278" s="15" t="n">
        <v>8.460000000000001</v>
      </c>
    </row>
    <row r="279">
      <c r="A279" s="14" t="inlineStr">
        <is>
          <t>ATILXD</t>
        </is>
      </c>
      <c r="B279" s="15" t="n">
        <v>75.18000000000001</v>
      </c>
    </row>
    <row r="280">
      <c r="A280" s="14" t="inlineStr">
        <is>
          <t>IMLNC</t>
        </is>
      </c>
      <c r="B280" s="15" t="n">
        <v>23.28</v>
      </c>
    </row>
    <row r="281">
      <c r="A281" s="14" t="inlineStr">
        <is>
          <t>ANTM</t>
        </is>
      </c>
      <c r="B281" s="15" t="n">
        <v>82.66</v>
      </c>
    </row>
    <row r="282">
      <c r="A282" s="14" t="inlineStr">
        <is>
          <t>SEPL</t>
        </is>
      </c>
      <c r="B282" s="15" t="n">
        <v>152.6</v>
      </c>
    </row>
    <row r="283">
      <c r="A283" s="14" t="inlineStr">
        <is>
          <t>HABSM</t>
        </is>
      </c>
      <c r="B283" s="15" t="n">
        <v>79.75</v>
      </c>
    </row>
    <row r="284">
      <c r="A284" s="14" t="inlineStr">
        <is>
          <t>SPAC2</t>
        </is>
      </c>
      <c r="B284" s="15" t="n">
        <v>13.9</v>
      </c>
    </row>
    <row r="285">
      <c r="A285" s="14" t="inlineStr">
        <is>
          <t>TGL</t>
        </is>
      </c>
      <c r="B285" s="15" t="n">
        <v>178.04</v>
      </c>
    </row>
    <row r="286">
      <c r="A286" s="14" t="inlineStr">
        <is>
          <t>NBPGETFXD</t>
        </is>
      </c>
      <c r="B286" s="15" t="n">
        <v>27.35</v>
      </c>
    </row>
    <row r="287">
      <c r="A287" s="14" t="inlineStr">
        <is>
          <t>SPAC1</t>
        </is>
      </c>
      <c r="B287" s="15" t="n">
        <v>14.4</v>
      </c>
    </row>
    <row r="288">
      <c r="A288" s="14" t="inlineStr">
        <is>
          <t>BRRG</t>
        </is>
      </c>
      <c r="B288" s="15" t="n">
        <v>44.51</v>
      </c>
    </row>
    <row r="289">
      <c r="A289" s="14" t="inlineStr">
        <is>
          <t>TSPL</t>
        </is>
      </c>
      <c r="B289" s="15" t="n">
        <v>15.49</v>
      </c>
    </row>
    <row r="290">
      <c r="A290" s="14" t="inlineStr">
        <is>
          <t>ATLH</t>
        </is>
      </c>
      <c r="B290" s="15" t="n">
        <v>1600.14</v>
      </c>
    </row>
    <row r="291">
      <c r="A291" s="14" t="inlineStr">
        <is>
          <t>ORM</t>
        </is>
      </c>
      <c r="B291" s="15" t="n">
        <v>11.05</v>
      </c>
    </row>
    <row r="292">
      <c r="A292" s="14" t="inlineStr">
        <is>
          <t>RUBYNC</t>
        </is>
      </c>
      <c r="B292" s="15" t="n">
        <v>22.69</v>
      </c>
    </row>
    <row r="293">
      <c r="A293" s="14" t="inlineStr">
        <is>
          <t>FHAM</t>
        </is>
      </c>
      <c r="B293" s="15" t="n">
        <v>32.5</v>
      </c>
    </row>
    <row r="294">
      <c r="A294" s="14" t="inlineStr">
        <is>
          <t>ARPAK</t>
        </is>
      </c>
      <c r="B294" s="15" t="n">
        <v>144.89</v>
      </c>
    </row>
    <row r="295">
      <c r="A295" s="14" t="inlineStr">
        <is>
          <t>FTMM</t>
        </is>
      </c>
      <c r="B295" s="15" t="n">
        <v>18.63</v>
      </c>
    </row>
    <row r="296">
      <c r="A296" s="14" t="inlineStr">
        <is>
          <t>HINOON</t>
        </is>
      </c>
      <c r="B296" s="15" t="n">
        <v>930.78</v>
      </c>
    </row>
    <row r="297">
      <c r="A297" s="14" t="inlineStr">
        <is>
          <t>GSPMNC</t>
        </is>
      </c>
      <c r="B297" s="15" t="n">
        <v>7.21</v>
      </c>
    </row>
    <row r="298">
      <c r="A298" s="14" t="inlineStr">
        <is>
          <t>ICL</t>
        </is>
      </c>
      <c r="B298" s="15" t="n">
        <v>132.46</v>
      </c>
    </row>
    <row r="299">
      <c r="A299" s="14" t="inlineStr">
        <is>
          <t>BIFO</t>
        </is>
      </c>
      <c r="B299" s="15" t="n">
        <v>121.53</v>
      </c>
    </row>
    <row r="300">
      <c r="A300" s="14" t="inlineStr">
        <is>
          <t>ARCTM</t>
        </is>
      </c>
      <c r="B300" s="15" t="n">
        <v>44.54</v>
      </c>
    </row>
    <row r="301">
      <c r="A301" s="14" t="inlineStr">
        <is>
          <t>SARC</t>
        </is>
      </c>
      <c r="B301" s="15" t="n">
        <v>100.09</v>
      </c>
    </row>
    <row r="302">
      <c r="A302" s="14" t="inlineStr">
        <is>
          <t>JSGBETF</t>
        </is>
      </c>
      <c r="B302" s="15" t="n">
        <v>40.8</v>
      </c>
    </row>
    <row r="303">
      <c r="A303" s="14" t="inlineStr">
        <is>
          <t>UDLI</t>
        </is>
      </c>
      <c r="B303" s="15" t="n">
        <v>18</v>
      </c>
    </row>
    <row r="304">
      <c r="A304" s="14" t="inlineStr">
        <is>
          <t>GAMONNC</t>
        </is>
      </c>
      <c r="B304" s="15" t="n">
        <v>22.16</v>
      </c>
    </row>
    <row r="305">
      <c r="A305" s="14" t="inlineStr">
        <is>
          <t>HALEON</t>
        </is>
      </c>
      <c r="B305" s="15" t="n">
        <v>728.11</v>
      </c>
    </row>
    <row r="306">
      <c r="A306" s="14" t="inlineStr">
        <is>
          <t>ABLXD</t>
        </is>
      </c>
      <c r="B306" s="15" t="n">
        <v>171.21</v>
      </c>
    </row>
    <row r="307">
      <c r="A307" s="14" t="inlineStr">
        <is>
          <t>GATI</t>
        </is>
      </c>
      <c r="B307" s="15" t="n">
        <v>90.13</v>
      </c>
    </row>
    <row r="308">
      <c r="A308" s="14" t="inlineStr">
        <is>
          <t>LIVEN</t>
        </is>
      </c>
      <c r="B308" s="15" t="n">
        <v>33.12</v>
      </c>
    </row>
    <row r="309">
      <c r="A309" s="14" t="inlineStr">
        <is>
          <t>UNIC</t>
        </is>
      </c>
      <c r="B309" s="15" t="n">
        <v>11.86</v>
      </c>
    </row>
    <row r="310">
      <c r="A310" s="14" t="inlineStr">
        <is>
          <t>PASMNC</t>
        </is>
      </c>
      <c r="B310" s="15" t="n">
        <v>9.4</v>
      </c>
    </row>
    <row r="311">
      <c r="A311" s="14" t="inlineStr">
        <is>
          <t>SHEZ</t>
        </is>
      </c>
      <c r="B311" s="15" t="n">
        <v>250.47</v>
      </c>
    </row>
    <row r="312">
      <c r="A312" s="14" t="inlineStr">
        <is>
          <t>QUICE</t>
        </is>
      </c>
      <c r="B312" s="15" t="n">
        <v>29.48</v>
      </c>
    </row>
    <row r="313">
      <c r="A313" s="14" t="inlineStr">
        <is>
          <t>SCBPLXD</t>
        </is>
      </c>
      <c r="B313" s="15" t="n">
        <v>63.01</v>
      </c>
    </row>
    <row r="314">
      <c r="A314" s="14" t="inlineStr">
        <is>
          <t>SURC</t>
        </is>
      </c>
      <c r="B314" s="15" t="n">
        <v>149.99</v>
      </c>
    </row>
    <row r="315">
      <c r="A315" s="14" t="inlineStr">
        <is>
          <t>SPLNC</t>
        </is>
      </c>
      <c r="B315" s="15" t="n">
        <v>49.48</v>
      </c>
    </row>
    <row r="316">
      <c r="A316" s="14" t="inlineStr">
        <is>
          <t>RICL</t>
        </is>
      </c>
      <c r="B316" s="15" t="n">
        <v>12.39</v>
      </c>
    </row>
    <row r="317">
      <c r="A317" s="14" t="inlineStr">
        <is>
          <t>HBLTETF</t>
        </is>
      </c>
      <c r="B317" s="15" t="n">
        <v>105.71</v>
      </c>
    </row>
    <row r="318">
      <c r="A318" s="14" t="inlineStr">
        <is>
          <t>KOHE</t>
        </is>
      </c>
      <c r="B318" s="15" t="n">
        <v>15.81</v>
      </c>
    </row>
    <row r="319">
      <c r="A319" s="14" t="inlineStr">
        <is>
          <t>LPL</t>
        </is>
      </c>
      <c r="B319" s="15" t="n">
        <v>21</v>
      </c>
    </row>
    <row r="320">
      <c r="A320" s="14" t="inlineStr">
        <is>
          <t>AKGL</t>
        </is>
      </c>
      <c r="B320" s="15" t="n">
        <v>63.65</v>
      </c>
    </row>
    <row r="321">
      <c r="A321" s="14" t="inlineStr">
        <is>
          <t>JUBSNC</t>
        </is>
      </c>
      <c r="B321" s="15" t="n">
        <v>47.25</v>
      </c>
    </row>
    <row r="322">
      <c r="A322" s="14" t="inlineStr">
        <is>
          <t>PKGP</t>
        </is>
      </c>
      <c r="B322" s="15" t="n">
        <v>38.49</v>
      </c>
    </row>
    <row r="323">
      <c r="A323" s="14" t="inlineStr">
        <is>
          <t>FECM</t>
        </is>
      </c>
      <c r="B323" s="15" t="n">
        <v>26.48</v>
      </c>
    </row>
    <row r="324">
      <c r="A324" s="14" t="inlineStr">
        <is>
          <t>ABOT</t>
        </is>
      </c>
      <c r="B324" s="15" t="n">
        <v>940.73</v>
      </c>
    </row>
    <row r="325">
      <c r="A325" s="14" t="inlineStr">
        <is>
          <t>FML</t>
        </is>
      </c>
      <c r="B325" s="15" t="n">
        <v>50.01</v>
      </c>
    </row>
    <row r="326">
      <c r="A326" s="14" t="inlineStr">
        <is>
          <t>MIRKS</t>
        </is>
      </c>
      <c r="B326" s="15" t="n">
        <v>33.1</v>
      </c>
    </row>
    <row r="327">
      <c r="A327" s="14" t="inlineStr">
        <is>
          <t>JSML</t>
        </is>
      </c>
      <c r="B327" s="15" t="n">
        <v>55.93</v>
      </c>
    </row>
    <row r="328">
      <c r="A328" s="14" t="inlineStr">
        <is>
          <t>JDMT</t>
        </is>
      </c>
      <c r="B328" s="15" t="n">
        <v>133.39</v>
      </c>
    </row>
    <row r="329">
      <c r="A329" s="14" t="inlineStr">
        <is>
          <t>THALL</t>
        </is>
      </c>
      <c r="B329" s="15" t="n">
        <v>591.11</v>
      </c>
    </row>
    <row r="330">
      <c r="A330" s="14" t="inlineStr">
        <is>
          <t>SZTM</t>
        </is>
      </c>
      <c r="B330" s="15" t="n">
        <v>87.45999999999999</v>
      </c>
    </row>
    <row r="331">
      <c r="A331" s="14" t="inlineStr">
        <is>
          <t>MRNS</t>
        </is>
      </c>
      <c r="B331" s="15" t="n">
        <v>59.59</v>
      </c>
    </row>
    <row r="332">
      <c r="A332" s="14" t="inlineStr">
        <is>
          <t>SMCPL</t>
        </is>
      </c>
      <c r="B332" s="15" t="n">
        <v>41.02</v>
      </c>
    </row>
    <row r="333">
      <c r="A333" s="14" t="inlineStr">
        <is>
          <t>SINDM</t>
        </is>
      </c>
      <c r="B333" s="15" t="n">
        <v>29.32</v>
      </c>
    </row>
    <row r="334">
      <c r="A334" s="14" t="inlineStr">
        <is>
          <t>DWTMWU</t>
        </is>
      </c>
      <c r="B334" s="15" t="n">
        <v>10.4</v>
      </c>
    </row>
    <row r="335">
      <c r="A335" s="14" t="inlineStr">
        <is>
          <t>SERT</t>
        </is>
      </c>
      <c r="B335" s="15" t="n">
        <v>44.98</v>
      </c>
    </row>
    <row r="336">
      <c r="A336" s="14" t="inlineStr">
        <is>
          <t>TPLL</t>
        </is>
      </c>
      <c r="B336" s="15" t="n">
        <v>20.46</v>
      </c>
    </row>
    <row r="337">
      <c r="A337" s="14" t="inlineStr">
        <is>
          <t>LPGL</t>
        </is>
      </c>
      <c r="B337" s="15" t="n">
        <v>91.43000000000001</v>
      </c>
    </row>
    <row r="338">
      <c r="A338" s="14" t="inlineStr">
        <is>
          <t>ALIFEXD</t>
        </is>
      </c>
      <c r="B338" s="15" t="n">
        <v>31.37</v>
      </c>
    </row>
    <row r="339">
      <c r="A339" s="14" t="inlineStr">
        <is>
          <t>OTSU</t>
        </is>
      </c>
      <c r="B339" s="15" t="n">
        <v>381.21</v>
      </c>
    </row>
    <row r="340">
      <c r="A340" s="14" t="inlineStr">
        <is>
          <t>MERIT</t>
        </is>
      </c>
      <c r="B340" s="15" t="n">
        <v>9.619999999999999</v>
      </c>
    </row>
    <row r="341">
      <c r="A341" s="14" t="inlineStr">
        <is>
          <t>SRR</t>
        </is>
      </c>
      <c r="B341" s="15" t="n">
        <v>16.9</v>
      </c>
    </row>
    <row r="342">
      <c r="A342" s="14" t="inlineStr">
        <is>
          <t>CENIXD</t>
        </is>
      </c>
      <c r="B342" s="15" t="n">
        <v>52.85</v>
      </c>
    </row>
    <row r="343">
      <c r="A343" s="14" t="inlineStr">
        <is>
          <t>PRET</t>
        </is>
      </c>
      <c r="B343" s="15" t="n">
        <v>529.6799999999999</v>
      </c>
    </row>
    <row r="344">
      <c r="A344" s="14" t="inlineStr">
        <is>
          <t>IDRT</t>
        </is>
      </c>
      <c r="B344" s="15" t="n">
        <v>36.6</v>
      </c>
    </row>
    <row r="345">
      <c r="A345" s="14" t="inlineStr">
        <is>
          <t>UDPL</t>
        </is>
      </c>
      <c r="B345" s="15" t="n">
        <v>117.55</v>
      </c>
    </row>
    <row r="346">
      <c r="A346" s="14" t="inlineStr">
        <is>
          <t>DNCC</t>
        </is>
      </c>
      <c r="B346" s="15" t="n">
        <v>16.23</v>
      </c>
    </row>
    <row r="347">
      <c r="A347" s="14" t="inlineStr">
        <is>
          <t>FEROZ</t>
        </is>
      </c>
      <c r="B347" s="15" t="n">
        <v>367.47</v>
      </c>
    </row>
    <row r="348">
      <c r="A348" s="14" t="inlineStr">
        <is>
          <t>TRIPF</t>
        </is>
      </c>
      <c r="B348" s="15" t="n">
        <v>137.06</v>
      </c>
    </row>
    <row r="349">
      <c r="A349" s="14" t="inlineStr">
        <is>
          <t>TSMF</t>
        </is>
      </c>
      <c r="B349" s="15" t="n">
        <v>15.17</v>
      </c>
    </row>
    <row r="350">
      <c r="A350" s="14" t="inlineStr">
        <is>
          <t>DINT</t>
        </is>
      </c>
      <c r="B350" s="15" t="n">
        <v>59.55</v>
      </c>
    </row>
    <row r="351">
      <c r="A351" s="14" t="inlineStr">
        <is>
          <t>IGIHLXD</t>
        </is>
      </c>
      <c r="B351" s="15" t="n">
        <v>261.51</v>
      </c>
    </row>
    <row r="352">
      <c r="A352" s="14" t="inlineStr">
        <is>
          <t>DWSMNC</t>
        </is>
      </c>
      <c r="B352" s="15" t="n">
        <v>6.54</v>
      </c>
    </row>
    <row r="353">
      <c r="A353" s="14" t="inlineStr">
        <is>
          <t>ACPL</t>
        </is>
      </c>
      <c r="B353" s="15" t="n">
        <v>232.02</v>
      </c>
    </row>
    <row r="354">
      <c r="A354" s="14" t="inlineStr">
        <is>
          <t>GADT</t>
        </is>
      </c>
      <c r="B354" s="15" t="n">
        <v>315.18</v>
      </c>
    </row>
    <row r="355">
      <c r="A355" s="14" t="inlineStr">
        <is>
          <t>NONS</t>
        </is>
      </c>
      <c r="B355" s="15" t="n">
        <v>85.88</v>
      </c>
    </row>
    <row r="356">
      <c r="A356" s="14" t="inlineStr">
        <is>
          <t>ZIL</t>
        </is>
      </c>
      <c r="B356" s="15" t="n">
        <v>344.5</v>
      </c>
    </row>
    <row r="357">
      <c r="A357" s="14" t="inlineStr">
        <is>
          <t>FPRM</t>
        </is>
      </c>
      <c r="B357" s="15" t="n">
        <v>10.82</v>
      </c>
    </row>
    <row r="358">
      <c r="A358" s="14" t="inlineStr">
        <is>
          <t>EFUGXD</t>
        </is>
      </c>
      <c r="B358" s="15" t="n">
        <v>130.21</v>
      </c>
    </row>
    <row r="359">
      <c r="A359" s="14" t="inlineStr">
        <is>
          <t>OML</t>
        </is>
      </c>
      <c r="B359" s="15" t="n">
        <v>78.09999999999999</v>
      </c>
    </row>
    <row r="360">
      <c r="A360" s="14" t="inlineStr">
        <is>
          <t>GRYL</t>
        </is>
      </c>
      <c r="B360" s="15" t="n">
        <v>20.49</v>
      </c>
    </row>
    <row r="361">
      <c r="A361" s="14" t="inlineStr">
        <is>
          <t>FCIBL</t>
        </is>
      </c>
      <c r="B361" s="15" t="n">
        <v>30.83</v>
      </c>
    </row>
    <row r="362">
      <c r="A362" s="14" t="inlineStr">
        <is>
          <t>KSTMNC</t>
        </is>
      </c>
      <c r="B362" s="15" t="n">
        <v>12.95</v>
      </c>
    </row>
    <row r="363">
      <c r="A363" s="14" t="inlineStr">
        <is>
          <t>ASHT</t>
        </is>
      </c>
      <c r="B363" s="15" t="n">
        <v>37.8</v>
      </c>
    </row>
    <row r="364">
      <c r="A364" s="14" t="inlineStr">
        <is>
          <t>JGICL</t>
        </is>
      </c>
      <c r="B364" s="15" t="n">
        <v>77.69</v>
      </c>
    </row>
    <row r="365">
      <c r="A365" s="14" t="inlineStr">
        <is>
          <t>SSMLNC</t>
        </is>
      </c>
      <c r="B365" s="15" t="n">
        <v>21.31</v>
      </c>
    </row>
    <row r="366">
      <c r="A366" s="14" t="inlineStr">
        <is>
          <t>POWERPS</t>
        </is>
      </c>
      <c r="B366" s="15" t="n">
        <v>24.88</v>
      </c>
    </row>
    <row r="367">
      <c r="A367" s="14" t="inlineStr">
        <is>
          <t>IDYM</t>
        </is>
      </c>
      <c r="B367" s="15" t="n">
        <v>135.05</v>
      </c>
    </row>
    <row r="368">
      <c r="A368" s="14" t="inlineStr">
        <is>
          <t>HGFA</t>
        </is>
      </c>
      <c r="B368" s="15" t="n">
        <v>14.41</v>
      </c>
    </row>
    <row r="369">
      <c r="A369" s="14" t="inlineStr">
        <is>
          <t>SNAI</t>
        </is>
      </c>
      <c r="B369" s="15" t="n">
        <v>35.58</v>
      </c>
    </row>
    <row r="370">
      <c r="A370" s="14" t="inlineStr">
        <is>
          <t>PAKL</t>
        </is>
      </c>
      <c r="B370" s="15" t="n">
        <v>53.86</v>
      </c>
    </row>
    <row r="371">
      <c r="A371" s="14" t="inlineStr">
        <is>
          <t>UVIC</t>
        </is>
      </c>
      <c r="B371" s="15" t="n">
        <v>19.75</v>
      </c>
    </row>
    <row r="372">
      <c r="A372" s="14" t="inlineStr">
        <is>
          <t>SHFA</t>
        </is>
      </c>
      <c r="B372" s="15" t="n">
        <v>477.06</v>
      </c>
    </row>
    <row r="373">
      <c r="A373" s="14" t="inlineStr">
        <is>
          <t>STML</t>
        </is>
      </c>
      <c r="B373" s="15" t="n">
        <v>52.26</v>
      </c>
    </row>
    <row r="374">
      <c r="A374" s="14" t="inlineStr">
        <is>
          <t>BWHL</t>
        </is>
      </c>
      <c r="B374" s="15" t="n">
        <v>229.67</v>
      </c>
    </row>
    <row r="375">
      <c r="A375" s="14" t="inlineStr">
        <is>
          <t>ACIETFXD</t>
        </is>
      </c>
      <c r="B375" s="15" t="n">
        <v>17</v>
      </c>
    </row>
    <row r="376">
      <c r="A376" s="14" t="inlineStr">
        <is>
          <t>OLPL</t>
        </is>
      </c>
      <c r="B376" s="15" t="n">
        <v>48</v>
      </c>
    </row>
    <row r="377">
      <c r="A377" s="14" t="inlineStr">
        <is>
          <t>TICL</t>
        </is>
      </c>
      <c r="B377" s="15" t="n">
        <v>1025.1</v>
      </c>
    </row>
    <row r="378">
      <c r="A378" s="14" t="inlineStr">
        <is>
          <t>JSRR</t>
        </is>
      </c>
      <c r="B378" s="15" t="n">
        <v>10.5</v>
      </c>
    </row>
    <row r="379">
      <c r="A379" s="14" t="inlineStr">
        <is>
          <t>SUTM</t>
        </is>
      </c>
      <c r="B379" s="15" t="n">
        <v>112.2</v>
      </c>
    </row>
    <row r="380">
      <c r="A380" s="14" t="inlineStr">
        <is>
          <t>PABC</t>
        </is>
      </c>
      <c r="B380" s="15" t="n">
        <v>99.03</v>
      </c>
    </row>
    <row r="381">
      <c r="A381" s="14" t="inlineStr">
        <is>
          <t>ICCI</t>
        </is>
      </c>
      <c r="B381" s="15" t="n">
        <v>14.55</v>
      </c>
    </row>
    <row r="382">
      <c r="A382" s="14" t="inlineStr">
        <is>
          <t>HAEL</t>
        </is>
      </c>
      <c r="B382" s="15" t="n">
        <v>25.93</v>
      </c>
    </row>
    <row r="383">
      <c r="A383" s="14" t="inlineStr">
        <is>
          <t>GEMPACRA</t>
        </is>
      </c>
      <c r="B383" s="15" t="n">
        <v>37.4</v>
      </c>
    </row>
    <row r="384">
      <c r="A384" s="14" t="inlineStr">
        <is>
          <t>GEMPAPL</t>
        </is>
      </c>
      <c r="B384" s="15" t="n">
        <v>11.5</v>
      </c>
    </row>
    <row r="385">
      <c r="A385" s="14" t="inlineStr">
        <is>
          <t>COLG</t>
        </is>
      </c>
      <c r="B385" s="15" t="n">
        <v>1194.78</v>
      </c>
    </row>
    <row r="386">
      <c r="A386" s="14" t="inlineStr">
        <is>
          <t>MACTER</t>
        </is>
      </c>
      <c r="B386" s="15" t="n">
        <v>266.7</v>
      </c>
    </row>
    <row r="387">
      <c r="A387" s="14" t="inlineStr">
        <is>
          <t>PILNC</t>
        </is>
      </c>
      <c r="B387" s="15" t="n">
        <v>5.35</v>
      </c>
    </row>
    <row r="388">
      <c r="A388" s="14" t="inlineStr">
        <is>
          <t>SEL</t>
        </is>
      </c>
      <c r="B388" s="15" t="n">
        <v>27.63</v>
      </c>
    </row>
    <row r="389">
      <c r="A389" s="14" t="inlineStr">
        <is>
          <t>MQTM</t>
        </is>
      </c>
      <c r="B389" s="15" t="n">
        <v>28.19</v>
      </c>
    </row>
    <row r="390">
      <c r="A390" s="14" t="inlineStr">
        <is>
          <t>INKL</t>
        </is>
      </c>
      <c r="B390" s="15" t="n">
        <v>92.89</v>
      </c>
    </row>
    <row r="391">
      <c r="A391" s="14" t="inlineStr">
        <is>
          <t>MUREB</t>
        </is>
      </c>
      <c r="B391" s="15" t="n">
        <v>925</v>
      </c>
    </row>
    <row r="392">
      <c r="A392" s="14" t="inlineStr">
        <is>
          <t>HINO</t>
        </is>
      </c>
      <c r="B392" s="15" t="n">
        <v>343.88</v>
      </c>
    </row>
    <row r="393">
      <c r="A393" s="14" t="inlineStr">
        <is>
          <t>PSEL</t>
        </is>
      </c>
      <c r="B393" s="15" t="n">
        <v>828.6</v>
      </c>
    </row>
    <row r="394">
      <c r="A394" s="14" t="inlineStr">
        <is>
          <t>SSOM</t>
        </is>
      </c>
      <c r="B394" s="15" t="n">
        <v>440.46</v>
      </c>
    </row>
    <row r="395">
      <c r="A395" s="14" t="inlineStr">
        <is>
          <t>NSRM</t>
        </is>
      </c>
      <c r="B395" s="15" t="n">
        <v>239</v>
      </c>
    </row>
    <row r="396">
      <c r="A396" s="14" t="inlineStr">
        <is>
          <t>UBDL</t>
        </is>
      </c>
      <c r="B396" s="15" t="n">
        <v>27.68</v>
      </c>
    </row>
    <row r="397">
      <c r="A397" s="14" t="inlineStr">
        <is>
          <t>BWCLXD</t>
        </is>
      </c>
      <c r="B397" s="15" t="n">
        <v>475.79</v>
      </c>
    </row>
    <row r="398">
      <c r="A398" s="14" t="inlineStr">
        <is>
          <t>SAIF</t>
        </is>
      </c>
      <c r="B398" s="15" t="n">
        <v>44.83</v>
      </c>
    </row>
    <row r="399">
      <c r="A399" s="14" t="inlineStr">
        <is>
          <t>FCELNC</t>
        </is>
      </c>
      <c r="B399" s="15" t="n">
        <v>5.16</v>
      </c>
    </row>
    <row r="400">
      <c r="A400" s="14" t="inlineStr">
        <is>
          <t>DWAENC</t>
        </is>
      </c>
      <c r="B400" s="15" t="n">
        <v>23.8</v>
      </c>
    </row>
    <row r="401">
      <c r="A401" s="14" t="inlineStr">
        <is>
          <t>FRSM</t>
        </is>
      </c>
      <c r="B401" s="15" t="n">
        <v>41.65</v>
      </c>
    </row>
    <row r="402">
      <c r="A402" s="14" t="inlineStr">
        <is>
          <t>TPLI</t>
        </is>
      </c>
      <c r="B402" s="15" t="n">
        <v>55.82</v>
      </c>
    </row>
    <row r="403">
      <c r="A403" s="14" t="inlineStr">
        <is>
          <t>BOK</t>
        </is>
      </c>
      <c r="B403" s="15" t="n">
        <v>30.73</v>
      </c>
    </row>
    <row r="404">
      <c r="A404" s="14" t="inlineStr">
        <is>
          <t>MCBIM</t>
        </is>
      </c>
      <c r="B404" s="15" t="n">
        <v>164.49</v>
      </c>
    </row>
    <row r="405">
      <c r="A405" s="14" t="inlineStr">
        <is>
          <t>ANLNV</t>
        </is>
      </c>
      <c r="B405" s="15" t="n">
        <v>7.59</v>
      </c>
    </row>
    <row r="406">
      <c r="A406" s="14" t="inlineStr">
        <is>
          <t>ARPL</t>
        </is>
      </c>
      <c r="B406" s="15" t="n">
        <v>429.77</v>
      </c>
    </row>
    <row r="407">
      <c r="A407" s="14" t="inlineStr">
        <is>
          <t>NCMLNC</t>
        </is>
      </c>
      <c r="B407" s="15" t="n">
        <v>16.03</v>
      </c>
    </row>
    <row r="408">
      <c r="A408" s="14" t="inlineStr">
        <is>
          <t>JSIL</t>
        </is>
      </c>
      <c r="B408" s="15" t="n">
        <v>41.94</v>
      </c>
    </row>
    <row r="409">
      <c r="A409" s="14" t="inlineStr">
        <is>
          <t>PRWM</t>
        </is>
      </c>
      <c r="B409" s="15" t="n">
        <v>64.01000000000001</v>
      </c>
    </row>
    <row r="410">
      <c r="A410" s="14" t="inlineStr">
        <is>
          <t>BELANC</t>
        </is>
      </c>
      <c r="B410" s="15" t="n">
        <v>57.25</v>
      </c>
    </row>
    <row r="411">
      <c r="A411" s="14" t="inlineStr">
        <is>
          <t>CHAS</t>
        </is>
      </c>
      <c r="B411" s="15" t="n">
        <v>84.26000000000001</v>
      </c>
    </row>
    <row r="412">
      <c r="A412" s="14" t="inlineStr">
        <is>
          <t>EFULXD</t>
        </is>
      </c>
      <c r="B412" s="15" t="n">
        <v>158.69</v>
      </c>
    </row>
    <row r="413">
      <c r="A413" s="14" t="inlineStr">
        <is>
          <t>KHTC</t>
        </is>
      </c>
      <c r="B413" s="15" t="n">
        <v>301.11</v>
      </c>
    </row>
    <row r="414">
      <c r="A414" s="14" t="inlineStr">
        <is>
          <t>SHCM</t>
        </is>
      </c>
      <c r="B414" s="15" t="n">
        <v>53.33</v>
      </c>
    </row>
    <row r="415">
      <c r="A415" s="14" t="inlineStr">
        <is>
          <t>ATBA</t>
        </is>
      </c>
      <c r="B415" s="15" t="n">
        <v>177.76</v>
      </c>
    </row>
    <row r="416">
      <c r="A416" s="14" t="inlineStr">
        <is>
          <t>IGIL</t>
        </is>
      </c>
      <c r="B416" s="15" t="n">
        <v>19.88</v>
      </c>
    </row>
    <row r="417">
      <c r="A417" s="14" t="inlineStr">
        <is>
          <t>PECONC</t>
        </is>
      </c>
      <c r="B417" s="15" t="n">
        <v>674.53</v>
      </c>
    </row>
    <row r="418">
      <c r="A418" s="14" t="inlineStr">
        <is>
          <t>FILNC</t>
        </is>
      </c>
      <c r="B418" s="15" t="n">
        <v>261.9</v>
      </c>
    </row>
    <row r="419">
      <c r="A419" s="14" t="inlineStr">
        <is>
          <t>SFL</t>
        </is>
      </c>
      <c r="B419" s="15" t="n">
        <v>1135.75</v>
      </c>
    </row>
    <row r="420">
      <c r="A420" s="14" t="inlineStr">
        <is>
          <t>WAHN</t>
        </is>
      </c>
      <c r="B420" s="15" t="n">
        <v>274.23</v>
      </c>
    </row>
    <row r="421">
      <c r="A421" s="14" t="inlineStr">
        <is>
          <t>AGTL</t>
        </is>
      </c>
      <c r="B421" s="15" t="n">
        <v>348.01</v>
      </c>
    </row>
    <row r="422">
      <c r="A422" s="14" t="inlineStr">
        <is>
          <t>PAKOXY</t>
        </is>
      </c>
      <c r="B422" s="15" t="n">
        <v>335.39</v>
      </c>
    </row>
    <row r="423">
      <c r="A423" s="14" t="inlineStr">
        <is>
          <t>AATM</t>
        </is>
      </c>
      <c r="B423" s="15" t="n">
        <v>59.96</v>
      </c>
    </row>
    <row r="424">
      <c r="A424" s="14" t="inlineStr">
        <is>
          <t>EXIDE</t>
        </is>
      </c>
      <c r="B424" s="15" t="n">
        <v>463.82</v>
      </c>
    </row>
    <row r="425">
      <c r="A425" s="14" t="inlineStr">
        <is>
          <t>PAKT</t>
        </is>
      </c>
      <c r="B425" s="15" t="n">
        <v>1392.26</v>
      </c>
    </row>
    <row r="426">
      <c r="A426" s="14" t="inlineStr">
        <is>
          <t>PKGS</t>
        </is>
      </c>
      <c r="B426" s="15" t="n">
        <v>771.42</v>
      </c>
    </row>
    <row r="427">
      <c r="A427" s="14" t="inlineStr">
        <is>
          <t>PNSC</t>
        </is>
      </c>
      <c r="B427" s="15" t="n">
        <v>516.38</v>
      </c>
    </row>
    <row r="428">
      <c r="A428" s="14" t="inlineStr">
        <is>
          <t>ASLPS</t>
        </is>
      </c>
      <c r="B428" s="15" t="n">
        <v>26.07</v>
      </c>
    </row>
    <row r="429">
      <c r="A429" s="14" t="inlineStr">
        <is>
          <t>FSWLNC</t>
        </is>
      </c>
      <c r="B429" s="15" t="n">
        <v>154.01</v>
      </c>
    </row>
    <row r="430">
      <c r="A430" s="14" t="inlineStr">
        <is>
          <t>IBFL</t>
        </is>
      </c>
      <c r="B430" s="15" t="n">
        <v>263.67</v>
      </c>
    </row>
    <row r="431">
      <c r="A431" s="14" t="inlineStr">
        <is>
          <t>MFFL</t>
        </is>
      </c>
      <c r="B431" s="15" t="n">
        <v>169</v>
      </c>
    </row>
    <row r="432">
      <c r="A432" s="14" t="inlineStr">
        <is>
          <t>CRTM</t>
        </is>
      </c>
      <c r="B432" s="15" t="n">
        <v>69.16</v>
      </c>
    </row>
    <row r="433">
      <c r="A433" s="14" t="inlineStr">
        <is>
          <t>KPUS</t>
        </is>
      </c>
      <c r="B433" s="15" t="n">
        <v>822.95</v>
      </c>
    </row>
    <row r="434">
      <c r="A434" s="14" t="inlineStr">
        <is>
          <t>POML</t>
        </is>
      </c>
      <c r="B434" s="15" t="n">
        <v>152.1</v>
      </c>
    </row>
    <row r="435">
      <c r="A435" s="14" t="inlineStr">
        <is>
          <t>REWM</t>
        </is>
      </c>
      <c r="B435" s="15" t="n">
        <v>160.38</v>
      </c>
    </row>
    <row r="436">
      <c r="A436" s="14" t="inlineStr">
        <is>
          <t>OLPM</t>
        </is>
      </c>
      <c r="B436" s="15" t="n">
        <v>25.01</v>
      </c>
    </row>
    <row r="437">
      <c r="A437" s="14" t="inlineStr">
        <is>
          <t>ADAMS</t>
        </is>
      </c>
      <c r="B437" s="15" t="n">
        <v>65.98</v>
      </c>
    </row>
    <row r="438">
      <c r="A438" s="14" t="inlineStr">
        <is>
          <t>PSYL</t>
        </is>
      </c>
      <c r="B438" s="15" t="n">
        <v>121.31</v>
      </c>
    </row>
    <row r="439">
      <c r="A439" s="14" t="inlineStr">
        <is>
          <t>GOC</t>
        </is>
      </c>
      <c r="B439" s="15" t="n">
        <v>171.43</v>
      </c>
    </row>
    <row r="440">
      <c r="A440" s="14" t="inlineStr">
        <is>
          <t>SUHJNC</t>
        </is>
      </c>
      <c r="B440" s="15" t="n">
        <v>182.1</v>
      </c>
    </row>
    <row r="441">
      <c r="A441" s="14" t="inlineStr">
        <is>
          <t>QUETNC</t>
        </is>
      </c>
      <c r="B441" s="15" t="n">
        <v>15.65</v>
      </c>
    </row>
    <row r="442">
      <c r="A442" s="14" t="inlineStr">
        <is>
          <t>ASLCPS</t>
        </is>
      </c>
      <c r="B442" s="15" t="n">
        <v>95.75</v>
      </c>
    </row>
    <row r="443">
      <c r="A443" s="14" t="inlineStr">
        <is>
          <t>FZCM</t>
        </is>
      </c>
      <c r="B443" s="15" t="n">
        <v>254.72</v>
      </c>
    </row>
    <row r="444">
      <c r="A444" s="14" t="inlineStr">
        <is>
          <t>NATM</t>
        </is>
      </c>
      <c r="B444" s="15" t="n">
        <v>79.84999999999999</v>
      </c>
    </row>
    <row r="445">
      <c r="A445" s="14" t="inlineStr">
        <is>
          <t>REDCO</t>
        </is>
      </c>
      <c r="B445" s="15" t="n">
        <v>29.37</v>
      </c>
    </row>
    <row r="446">
      <c r="A446" s="14" t="inlineStr">
        <is>
          <t>STJT</t>
        </is>
      </c>
      <c r="B446" s="15" t="n">
        <v>152.06</v>
      </c>
    </row>
    <row r="447">
      <c r="A447" s="14" t="inlineStr">
        <is>
          <t>SIBL</t>
        </is>
      </c>
      <c r="B447" s="15" t="n">
        <v>7.06</v>
      </c>
    </row>
    <row r="448">
      <c r="A448" s="14" t="inlineStr">
        <is>
          <t>TCORPCPS</t>
        </is>
      </c>
      <c r="B448" s="15" t="n">
        <v>10.76</v>
      </c>
    </row>
    <row r="449">
      <c r="A449" s="14" t="inlineStr">
        <is>
          <t>GEMBCEM</t>
        </is>
      </c>
      <c r="B449" s="15" t="n">
        <v>11.31</v>
      </c>
    </row>
    <row r="450">
      <c r="A450" s="14" t="inlineStr">
        <is>
          <t>BAFS</t>
        </is>
      </c>
      <c r="B450" s="15" t="n">
        <v>475.8</v>
      </c>
    </row>
    <row r="451">
      <c r="A451" s="14" t="inlineStr">
        <is>
          <t>JSGCL</t>
        </is>
      </c>
      <c r="B451" s="15" t="n">
        <v>151.31</v>
      </c>
    </row>
    <row r="452">
      <c r="A452" s="14" t="inlineStr">
        <is>
          <t>ARMG</t>
        </is>
      </c>
      <c r="B452" s="15" t="n">
        <v>53.77</v>
      </c>
    </row>
    <row r="453">
      <c r="A453" s="14" t="inlineStr">
        <is>
          <t>JKSM</t>
        </is>
      </c>
      <c r="B453" s="15" t="n">
        <v>344.43</v>
      </c>
    </row>
    <row r="454">
      <c r="A454" s="14" t="inlineStr">
        <is>
          <t>AMBL</t>
        </is>
      </c>
      <c r="B454" s="15" t="n">
        <v>19.22</v>
      </c>
    </row>
    <row r="455">
      <c r="A455" s="14" t="inlineStr">
        <is>
          <t>PMRS</t>
        </is>
      </c>
      <c r="B455" s="15" t="n">
        <v>414.15</v>
      </c>
    </row>
    <row r="456">
      <c r="A456" s="14" t="inlineStr">
        <is>
          <t>SITC</t>
        </is>
      </c>
      <c r="B456" s="15" t="n">
        <v>760</v>
      </c>
    </row>
    <row r="457">
      <c r="A457" s="14" t="inlineStr">
        <is>
          <t>GCWLPRS</t>
        </is>
      </c>
      <c r="B457" s="15" t="n">
        <v>131.99</v>
      </c>
    </row>
    <row r="458">
      <c r="A458" s="14" t="inlineStr">
        <is>
          <t>GVGL</t>
        </is>
      </c>
      <c r="B458" s="15" t="n">
        <v>54.9</v>
      </c>
    </row>
    <row r="459">
      <c r="A459" s="14" t="inlineStr">
        <is>
          <t>AGIC</t>
        </is>
      </c>
      <c r="B459" s="15" t="n">
        <v>39.5</v>
      </c>
    </row>
    <row r="460">
      <c r="A460" s="14" t="inlineStr">
        <is>
          <t>FRCL</t>
        </is>
      </c>
      <c r="B460" s="15" t="n">
        <v>88.68000000000001</v>
      </c>
    </row>
    <row r="461">
      <c r="A461" s="14" t="inlineStr">
        <is>
          <t>SIEM</t>
        </is>
      </c>
      <c r="B461" s="15" t="n">
        <v>1631.91</v>
      </c>
    </row>
    <row r="462">
      <c r="A462" s="14" t="inlineStr">
        <is>
          <t>AKDHL</t>
        </is>
      </c>
      <c r="B462" s="15" t="n">
        <v>153.04</v>
      </c>
    </row>
    <row r="463">
      <c r="A463" s="14" t="inlineStr">
        <is>
          <t>BATA</t>
        </is>
      </c>
      <c r="B463" s="15" t="n">
        <v>883.6</v>
      </c>
    </row>
    <row r="464">
      <c r="A464" s="14" t="inlineStr">
        <is>
          <t>BNWM</t>
        </is>
      </c>
      <c r="B464" s="15" t="n">
        <v>66.13</v>
      </c>
    </row>
    <row r="465">
      <c r="A465" s="14" t="inlineStr">
        <is>
          <t>SASML</t>
        </is>
      </c>
      <c r="B465" s="15" t="n">
        <v>333.96</v>
      </c>
    </row>
    <row r="466">
      <c r="A466" s="14" t="inlineStr">
        <is>
          <t>SMLNC</t>
        </is>
      </c>
      <c r="B466" s="15" t="n">
        <v>95.76000000000001</v>
      </c>
    </row>
    <row r="467">
      <c r="A467" s="14" t="inlineStr">
        <is>
          <t>NESTLE</t>
        </is>
      </c>
      <c r="B467" s="15" t="n">
        <v>7505.33</v>
      </c>
    </row>
    <row r="468">
      <c r="A468" s="14" t="inlineStr">
        <is>
          <t>CCM</t>
        </is>
      </c>
      <c r="B468" s="15" t="n">
        <v>44.97</v>
      </c>
    </row>
    <row r="469">
      <c r="A469" s="14" t="inlineStr">
        <is>
          <t>SANSM</t>
        </is>
      </c>
      <c r="B469" s="15" t="n">
        <v>122.2</v>
      </c>
    </row>
    <row r="470">
      <c r="A470" s="14" t="inlineStr">
        <is>
          <t>AHTM</t>
        </is>
      </c>
      <c r="B470" s="15" t="n">
        <v>92.37</v>
      </c>
    </row>
    <row r="471">
      <c r="A471" s="14" t="inlineStr">
        <is>
          <t>STYLERS</t>
        </is>
      </c>
      <c r="B471" s="15" t="n">
        <v>51.49</v>
      </c>
    </row>
    <row r="472">
      <c r="A472" s="14" t="inlineStr">
        <is>
          <t>UPFL</t>
        </is>
      </c>
      <c r="B472" s="15" t="n">
        <v>25557.25</v>
      </c>
    </row>
    <row r="473">
      <c r="A473" s="14" t="inlineStr">
        <is>
          <t>SHJS</t>
        </is>
      </c>
      <c r="B473" s="15" t="n">
        <v>138.53</v>
      </c>
    </row>
    <row r="474">
      <c r="A474" s="14" t="inlineStr">
        <is>
          <t>TSML</t>
        </is>
      </c>
      <c r="B474" s="15" t="n">
        <v>524.11</v>
      </c>
    </row>
    <row r="475">
      <c r="A475" s="14" t="inlineStr">
        <is>
          <t>AABS</t>
        </is>
      </c>
      <c r="B475" s="15" t="n">
        <v>821.85</v>
      </c>
    </row>
    <row r="476">
      <c r="A476" s="14" t="inlineStr">
        <is>
          <t>ASIC</t>
        </is>
      </c>
      <c r="B476" s="15" t="n">
        <v>36.58</v>
      </c>
    </row>
    <row r="477">
      <c r="A477" s="14" t="inlineStr">
        <is>
          <t>GFIL</t>
        </is>
      </c>
      <c r="B477" s="15" t="n">
        <v>29.89</v>
      </c>
    </row>
    <row r="478">
      <c r="A478" s="14" t="inlineStr">
        <is>
          <t>SHSML</t>
        </is>
      </c>
      <c r="B478" s="15" t="n">
        <v>375</v>
      </c>
    </row>
    <row r="479">
      <c r="A479" s="14" t="inlineStr">
        <is>
          <t>FASM</t>
        </is>
      </c>
      <c r="B479" s="15" t="n">
        <v>315.18</v>
      </c>
    </row>
    <row r="480">
      <c r="A480" s="14" t="inlineStr">
        <is>
          <t>ISIL</t>
        </is>
      </c>
      <c r="B480" s="15" t="n">
        <v>1858.85</v>
      </c>
    </row>
    <row r="481">
      <c r="A481" s="14" t="inlineStr">
        <is>
          <t>IDEAL</t>
        </is>
      </c>
      <c r="B481" s="15" t="n">
        <v>53.46</v>
      </c>
    </row>
    <row r="482">
      <c r="A482" s="14" t="inlineStr">
        <is>
          <t>RMPLXD</t>
        </is>
      </c>
      <c r="B482" s="15" t="n">
        <v>9275.01</v>
      </c>
    </row>
    <row r="483">
      <c r="A483" s="14" t="inlineStr">
        <is>
          <t>HPLXD</t>
        </is>
      </c>
      <c r="B483" s="15" t="n">
        <v>4023.7</v>
      </c>
    </row>
    <row r="484">
      <c r="A484" s="14" t="inlineStr">
        <is>
          <t>ELCM</t>
        </is>
      </c>
      <c r="B484" s="15" t="n">
        <v>201.67</v>
      </c>
    </row>
    <row r="485">
      <c r="A485" s="14" t="inlineStr">
        <is>
          <t>DYNO</t>
        </is>
      </c>
      <c r="B485" s="15" t="n">
        <v>350.45</v>
      </c>
    </row>
    <row r="486">
      <c r="A486" s="14" t="inlineStr">
        <is>
          <t>JDWS</t>
        </is>
      </c>
      <c r="B486" s="15" t="n">
        <v>900</v>
      </c>
    </row>
    <row r="487">
      <c r="A487" s="14" t="inlineStr">
        <is>
          <t>JVDCPS</t>
        </is>
      </c>
      <c r="B487" s="15" t="n">
        <v>57.91</v>
      </c>
    </row>
    <row r="488">
      <c r="A488" s="14" t="inlineStr">
        <is>
          <t>ALNRS</t>
        </is>
      </c>
      <c r="B488" s="15" t="n">
        <v>122.01</v>
      </c>
    </row>
    <row r="489">
      <c r="A489" s="14" t="inlineStr">
        <is>
          <t>GEMNETS</t>
        </is>
      </c>
      <c r="B489" s="15" t="n">
        <v>23.72</v>
      </c>
    </row>
    <row r="490">
      <c r="A490" s="14" t="inlineStr">
        <is>
          <t>BTL</t>
        </is>
      </c>
      <c r="B490" s="15" t="n">
        <v>900.6</v>
      </c>
    </row>
    <row r="491">
      <c r="A491" s="14" t="inlineStr">
        <is>
          <t>BHAT</t>
        </is>
      </c>
      <c r="B491" s="15" t="n">
        <v>819.53</v>
      </c>
    </row>
    <row r="492">
      <c r="A492" s="14" t="inlineStr">
        <is>
          <t>KHYT</t>
        </is>
      </c>
      <c r="B492" s="15" t="n">
        <v>1785.06</v>
      </c>
    </row>
    <row r="493">
      <c r="A493" s="14" t="inlineStr">
        <is>
          <t>SAPT</t>
        </is>
      </c>
      <c r="B493" s="15" t="n">
        <v>1440</v>
      </c>
    </row>
    <row r="494">
      <c r="A494" s="14" t="inlineStr">
        <is>
          <t>DMC</t>
        </is>
      </c>
      <c r="B494" s="15" t="n">
        <v>176.67</v>
      </c>
    </row>
    <row r="495">
      <c r="A495" s="14" t="inlineStr">
        <is>
          <t>FIMM</t>
        </is>
      </c>
      <c r="B495" s="15" t="n">
        <v>219.15</v>
      </c>
    </row>
    <row r="496">
      <c r="A496" s="14" t="inlineStr">
        <is>
          <t>MUGHALC</t>
        </is>
      </c>
      <c r="B496" s="15" t="n">
        <v>61.98</v>
      </c>
    </row>
    <row r="497">
      <c r="A497" s="14" t="inlineStr">
        <is>
          <t>GEMMEL</t>
        </is>
      </c>
      <c r="B497" s="15" t="n">
        <v>35.07</v>
      </c>
    </row>
  </sheetData>
  <autoFilter ref="A1:B4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2" customWidth="1" min="1" max="1"/>
    <col width="10" customWidth="1" min="2" max="2"/>
    <col width="8" customWidth="1" min="3" max="3"/>
    <col width="10" customWidth="1" min="4" max="4"/>
    <col width="10" customWidth="1" min="5" max="5"/>
    <col width="10" customWidth="1" min="6" max="6"/>
    <col width="12" customWidth="1" min="7" max="7"/>
    <col width="10" customWidth="1" min="8" max="8"/>
    <col width="12" customWidth="1" min="9" max="9"/>
    <col width="22" customWidth="1" min="10" max="10"/>
  </cols>
  <sheetData>
    <row r="1">
      <c r="A1" s="16" t="inlineStr">
        <is>
          <t>TRADE LOG</t>
        </is>
      </c>
    </row>
    <row r="3">
      <c r="A3" s="13" t="inlineStr">
        <is>
          <t>Date</t>
        </is>
      </c>
      <c r="B3" s="13" t="inlineStr">
        <is>
          <t>Ticker</t>
        </is>
      </c>
      <c r="C3" s="13" t="inlineStr">
        <is>
          <t>Side</t>
        </is>
      </c>
      <c r="D3" s="13" t="inlineStr">
        <is>
          <t>Qty</t>
        </is>
      </c>
      <c r="E3" s="13" t="inlineStr">
        <is>
          <t>Entry</t>
        </is>
      </c>
      <c r="F3" s="13" t="inlineStr">
        <is>
          <t>Exit</t>
        </is>
      </c>
      <c r="G3" s="13" t="inlineStr">
        <is>
          <t>Brokerage%</t>
        </is>
      </c>
      <c r="H3" s="13" t="inlineStr">
        <is>
          <t>Fees</t>
        </is>
      </c>
      <c r="I3" s="13" t="inlineStr">
        <is>
          <t>Net P/L</t>
        </is>
      </c>
      <c r="J3" s="13" t="inlineStr">
        <is>
          <t>Notes</t>
        </is>
      </c>
    </row>
    <row r="4">
      <c r="A4" s="14" t="n"/>
      <c r="B4" s="14" t="n"/>
      <c r="C4" s="14" t="n"/>
      <c r="D4" s="14" t="n"/>
      <c r="E4" s="14" t="n"/>
      <c r="F4" s="14" t="n"/>
      <c r="G4" s="14" t="n"/>
      <c r="H4" s="14" t="n"/>
      <c r="I4" s="15">
        <f>IF(OR(D4="",E4="",F4=""),"",D4*F4*(1-IF(G4="",0.15,G4)/100)-D4*E4*(1+IF(G4="",0.15,G4)/100)-IF(H4="",0,H4))</f>
        <v/>
      </c>
      <c r="J4" s="14" t="n"/>
    </row>
    <row r="5">
      <c r="A5" s="14" t="n"/>
      <c r="B5" s="14" t="n"/>
      <c r="C5" s="14" t="n"/>
      <c r="D5" s="14" t="n"/>
      <c r="E5" s="14" t="n"/>
      <c r="F5" s="14" t="n"/>
      <c r="G5" s="14" t="n"/>
      <c r="H5" s="14" t="n"/>
      <c r="I5" s="15">
        <f>IF(OR(D5="",E5="",F5=""),"",D5*F5*(1-IF(G5="",0.15,G5)/100)-D5*E5*(1+IF(G5="",0.15,G5)/100)-IF(H5="",0,H5))</f>
        <v/>
      </c>
      <c r="J5" s="14" t="n"/>
    </row>
    <row r="6">
      <c r="A6" s="14" t="n"/>
      <c r="B6" s="14" t="n"/>
      <c r="C6" s="14" t="n"/>
      <c r="D6" s="14" t="n"/>
      <c r="E6" s="14" t="n"/>
      <c r="F6" s="14" t="n"/>
      <c r="G6" s="14" t="n"/>
      <c r="H6" s="14" t="n"/>
      <c r="I6" s="15">
        <f>IF(OR(D6="",E6="",F6=""),"",D6*F6*(1-IF(G6="",0.15,G6)/100)-D6*E6*(1+IF(G6="",0.15,G6)/100)-IF(H6="",0,H6))</f>
        <v/>
      </c>
      <c r="J6" s="14" t="n"/>
    </row>
    <row r="7">
      <c r="A7" s="14" t="n"/>
      <c r="B7" s="14" t="n"/>
      <c r="C7" s="14" t="n"/>
      <c r="D7" s="14" t="n"/>
      <c r="E7" s="14" t="n"/>
      <c r="F7" s="14" t="n"/>
      <c r="G7" s="14" t="n"/>
      <c r="H7" s="14" t="n"/>
      <c r="I7" s="15">
        <f>IF(OR(D7="",E7="",F7=""),"",D7*F7*(1-IF(G7="",0.15,G7)/100)-D7*E7*(1+IF(G7="",0.15,G7)/100)-IF(H7="",0,H7))</f>
        <v/>
      </c>
      <c r="J7" s="14" t="n"/>
    </row>
    <row r="8">
      <c r="A8" s="14" t="n"/>
      <c r="B8" s="14" t="n"/>
      <c r="C8" s="14" t="n"/>
      <c r="D8" s="14" t="n"/>
      <c r="E8" s="14" t="n"/>
      <c r="F8" s="14" t="n"/>
      <c r="G8" s="14" t="n"/>
      <c r="H8" s="14" t="n"/>
      <c r="I8" s="15">
        <f>IF(OR(D8="",E8="",F8=""),"",D8*F8*(1-IF(G8="",0.15,G8)/100)-D8*E8*(1+IF(G8="",0.15,G8)/100)-IF(H8="",0,H8))</f>
        <v/>
      </c>
      <c r="J8" s="14" t="n"/>
    </row>
    <row r="9">
      <c r="A9" s="14" t="n"/>
      <c r="B9" s="14" t="n"/>
      <c r="C9" s="14" t="n"/>
      <c r="D9" s="14" t="n"/>
      <c r="E9" s="14" t="n"/>
      <c r="F9" s="14" t="n"/>
      <c r="G9" s="14" t="n"/>
      <c r="H9" s="14" t="n"/>
      <c r="I9" s="15">
        <f>IF(OR(D9="",E9="",F9=""),"",D9*F9*(1-IF(G9="",0.15,G9)/100)-D9*E9*(1+IF(G9="",0.15,G9)/100)-IF(H9="",0,H9))</f>
        <v/>
      </c>
      <c r="J9" s="14" t="n"/>
    </row>
    <row r="10">
      <c r="A10" s="14" t="n"/>
      <c r="B10" s="14" t="n"/>
      <c r="C10" s="14" t="n"/>
      <c r="D10" s="14" t="n"/>
      <c r="E10" s="14" t="n"/>
      <c r="F10" s="14" t="n"/>
      <c r="G10" s="14" t="n"/>
      <c r="H10" s="14" t="n"/>
      <c r="I10" s="15">
        <f>IF(OR(D10="",E10="",F10=""),"",D10*F10*(1-IF(G10="",0.15,G10)/100)-D10*E10*(1+IF(G10="",0.15,G10)/100)-IF(H10="",0,H10))</f>
        <v/>
      </c>
      <c r="J10" s="14" t="n"/>
    </row>
    <row r="11">
      <c r="A11" s="14" t="n"/>
      <c r="B11" s="14" t="n"/>
      <c r="C11" s="14" t="n"/>
      <c r="D11" s="14" t="n"/>
      <c r="E11" s="14" t="n"/>
      <c r="F11" s="14" t="n"/>
      <c r="G11" s="14" t="n"/>
      <c r="H11" s="14" t="n"/>
      <c r="I11" s="15">
        <f>IF(OR(D11="",E11="",F11=""),"",D11*F11*(1-IF(G11="",0.15,G11)/100)-D11*E11*(1+IF(G11="",0.15,G11)/100)-IF(H11="",0,H11))</f>
        <v/>
      </c>
      <c r="J11" s="14" t="n"/>
    </row>
    <row r="12">
      <c r="A12" s="14" t="n"/>
      <c r="B12" s="14" t="n"/>
      <c r="C12" s="14" t="n"/>
      <c r="D12" s="14" t="n"/>
      <c r="E12" s="14" t="n"/>
      <c r="F12" s="14" t="n"/>
      <c r="G12" s="14" t="n"/>
      <c r="H12" s="14" t="n"/>
      <c r="I12" s="15">
        <f>IF(OR(D12="",E12="",F12=""),"",D12*F12*(1-IF(G12="",0.15,G12)/100)-D12*E12*(1+IF(G12="",0.15,G12)/100)-IF(H12="",0,H12))</f>
        <v/>
      </c>
      <c r="J12" s="14" t="n"/>
    </row>
    <row r="13">
      <c r="A13" s="14" t="n"/>
      <c r="B13" s="14" t="n"/>
      <c r="C13" s="14" t="n"/>
      <c r="D13" s="14" t="n"/>
      <c r="E13" s="14" t="n"/>
      <c r="F13" s="14" t="n"/>
      <c r="G13" s="14" t="n"/>
      <c r="H13" s="14" t="n"/>
      <c r="I13" s="15">
        <f>IF(OR(D13="",E13="",F13=""),"",D13*F13*(1-IF(G13="",0.15,G13)/100)-D13*E13*(1+IF(G13="",0.15,G13)/100)-IF(H13="",0,H13))</f>
        <v/>
      </c>
      <c r="J13" s="14" t="n"/>
    </row>
    <row r="14">
      <c r="A14" s="14" t="n"/>
      <c r="B14" s="14" t="n"/>
      <c r="C14" s="14" t="n"/>
      <c r="D14" s="14" t="n"/>
      <c r="E14" s="14" t="n"/>
      <c r="F14" s="14" t="n"/>
      <c r="G14" s="14" t="n"/>
      <c r="H14" s="14" t="n"/>
      <c r="I14" s="15">
        <f>IF(OR(D14="",E14="",F14=""),"",D14*F14*(1-IF(G14="",0.15,G14)/100)-D14*E14*(1+IF(G14="",0.15,G14)/100)-IF(H14="",0,H14))</f>
        <v/>
      </c>
      <c r="J14" s="14" t="n"/>
    </row>
    <row r="15">
      <c r="A15" s="14" t="n"/>
      <c r="B15" s="14" t="n"/>
      <c r="C15" s="14" t="n"/>
      <c r="D15" s="14" t="n"/>
      <c r="E15" s="14" t="n"/>
      <c r="F15" s="14" t="n"/>
      <c r="G15" s="14" t="n"/>
      <c r="H15" s="14" t="n"/>
      <c r="I15" s="15">
        <f>IF(OR(D15="",E15="",F15=""),"",D15*F15*(1-IF(G15="",0.15,G15)/100)-D15*E15*(1+IF(G15="",0.15,G15)/100)-IF(H15="",0,H15))</f>
        <v/>
      </c>
      <c r="J15" s="14" t="n"/>
    </row>
    <row r="16">
      <c r="A16" s="14" t="n"/>
      <c r="B16" s="14" t="n"/>
      <c r="C16" s="14" t="n"/>
      <c r="D16" s="14" t="n"/>
      <c r="E16" s="14" t="n"/>
      <c r="F16" s="14" t="n"/>
      <c r="G16" s="14" t="n"/>
      <c r="H16" s="14" t="n"/>
      <c r="I16" s="15">
        <f>IF(OR(D16="",E16="",F16=""),"",D16*F16*(1-IF(G16="",0.15,G16)/100)-D16*E16*(1+IF(G16="",0.15,G16)/100)-IF(H16="",0,H16))</f>
        <v/>
      </c>
      <c r="J16" s="14" t="n"/>
    </row>
    <row r="17">
      <c r="A17" s="14" t="n"/>
      <c r="B17" s="14" t="n"/>
      <c r="C17" s="14" t="n"/>
      <c r="D17" s="14" t="n"/>
      <c r="E17" s="14" t="n"/>
      <c r="F17" s="14" t="n"/>
      <c r="G17" s="14" t="n"/>
      <c r="H17" s="14" t="n"/>
      <c r="I17" s="15">
        <f>IF(OR(D17="",E17="",F17=""),"",D17*F17*(1-IF(G17="",0.15,G17)/100)-D17*E17*(1+IF(G17="",0.15,G17)/100)-IF(H17="",0,H17))</f>
        <v/>
      </c>
      <c r="J17" s="14" t="n"/>
    </row>
    <row r="18">
      <c r="A18" s="14" t="n"/>
      <c r="B18" s="14" t="n"/>
      <c r="C18" s="14" t="n"/>
      <c r="D18" s="14" t="n"/>
      <c r="E18" s="14" t="n"/>
      <c r="F18" s="14" t="n"/>
      <c r="G18" s="14" t="n"/>
      <c r="H18" s="14" t="n"/>
      <c r="I18" s="15">
        <f>IF(OR(D18="",E18="",F18=""),"",D18*F18*(1-IF(G18="",0.15,G18)/100)-D18*E18*(1+IF(G18="",0.15,G18)/100)-IF(H18="",0,H18))</f>
        <v/>
      </c>
      <c r="J18" s="14" t="n"/>
    </row>
    <row r="19">
      <c r="A19" s="14" t="n"/>
      <c r="B19" s="14" t="n"/>
      <c r="C19" s="14" t="n"/>
      <c r="D19" s="14" t="n"/>
      <c r="E19" s="14" t="n"/>
      <c r="F19" s="14" t="n"/>
      <c r="G19" s="14" t="n"/>
      <c r="H19" s="14" t="n"/>
      <c r="I19" s="15">
        <f>IF(OR(D19="",E19="",F19=""),"",D19*F19*(1-IF(G19="",0.15,G19)/100)-D19*E19*(1+IF(G19="",0.15,G19)/100)-IF(H19="",0,H19))</f>
        <v/>
      </c>
      <c r="J19" s="14" t="n"/>
    </row>
    <row r="20">
      <c r="A20" s="14" t="n"/>
      <c r="B20" s="14" t="n"/>
      <c r="C20" s="14" t="n"/>
      <c r="D20" s="14" t="n"/>
      <c r="E20" s="14" t="n"/>
      <c r="F20" s="14" t="n"/>
      <c r="G20" s="14" t="n"/>
      <c r="H20" s="14" t="n"/>
      <c r="I20" s="15">
        <f>IF(OR(D20="",E20="",F20=""),"",D20*F20*(1-IF(G20="",0.15,G20)/100)-D20*E20*(1+IF(G20="",0.15,G20)/100)-IF(H20="",0,H20))</f>
        <v/>
      </c>
      <c r="J20" s="14" t="n"/>
    </row>
    <row r="21">
      <c r="A21" s="14" t="n"/>
      <c r="B21" s="14" t="n"/>
      <c r="C21" s="14" t="n"/>
      <c r="D21" s="14" t="n"/>
      <c r="E21" s="14" t="n"/>
      <c r="F21" s="14" t="n"/>
      <c r="G21" s="14" t="n"/>
      <c r="H21" s="14" t="n"/>
      <c r="I21" s="15">
        <f>IF(OR(D21="",E21="",F21=""),"",D21*F21*(1-IF(G21="",0.15,G21)/100)-D21*E21*(1+IF(G21="",0.15,G21)/100)-IF(H21="",0,H21))</f>
        <v/>
      </c>
      <c r="J21" s="14" t="n"/>
    </row>
    <row r="22">
      <c r="A22" s="14" t="n"/>
      <c r="B22" s="14" t="n"/>
      <c r="C22" s="14" t="n"/>
      <c r="D22" s="14" t="n"/>
      <c r="E22" s="14" t="n"/>
      <c r="F22" s="14" t="n"/>
      <c r="G22" s="14" t="n"/>
      <c r="H22" s="14" t="n"/>
      <c r="I22" s="15">
        <f>IF(OR(D22="",E22="",F22=""),"",D22*F22*(1-IF(G22="",0.15,G22)/100)-D22*E22*(1+IF(G22="",0.15,G22)/100)-IF(H22="",0,H22))</f>
        <v/>
      </c>
      <c r="J22" s="14" t="n"/>
    </row>
    <row r="23">
      <c r="A23" s="14" t="n"/>
      <c r="B23" s="14" t="n"/>
      <c r="C23" s="14" t="n"/>
      <c r="D23" s="14" t="n"/>
      <c r="E23" s="14" t="n"/>
      <c r="F23" s="14" t="n"/>
      <c r="G23" s="14" t="n"/>
      <c r="H23" s="14" t="n"/>
      <c r="I23" s="15">
        <f>IF(OR(D23="",E23="",F23=""),"",D23*F23*(1-IF(G23="",0.15,G23)/100)-D23*E23*(1+IF(G23="",0.15,G23)/100)-IF(H23="",0,H23))</f>
        <v/>
      </c>
      <c r="J23" s="14" t="n"/>
    </row>
    <row r="24">
      <c r="A24" s="14" t="n"/>
      <c r="B24" s="14" t="n"/>
      <c r="C24" s="14" t="n"/>
      <c r="D24" s="14" t="n"/>
      <c r="E24" s="14" t="n"/>
      <c r="F24" s="14" t="n"/>
      <c r="G24" s="14" t="n"/>
      <c r="H24" s="14" t="n"/>
      <c r="I24" s="15">
        <f>IF(OR(D24="",E24="",F24=""),"",D24*F24*(1-IF(G24="",0.15,G24)/100)-D24*E24*(1+IF(G24="",0.15,G24)/100)-IF(H24="",0,H24))</f>
        <v/>
      </c>
      <c r="J24" s="14" t="n"/>
    </row>
    <row r="25">
      <c r="A25" s="14" t="n"/>
      <c r="B25" s="14" t="n"/>
      <c r="C25" s="14" t="n"/>
      <c r="D25" s="14" t="n"/>
      <c r="E25" s="14" t="n"/>
      <c r="F25" s="14" t="n"/>
      <c r="G25" s="14" t="n"/>
      <c r="H25" s="14" t="n"/>
      <c r="I25" s="15">
        <f>IF(OR(D25="",E25="",F25=""),"",D25*F25*(1-IF(G25="",0.15,G25)/100)-D25*E25*(1+IF(G25="",0.15,G25)/100)-IF(H25="",0,H25))</f>
        <v/>
      </c>
      <c r="J25" s="14" t="n"/>
    </row>
    <row r="26">
      <c r="A26" s="14" t="n"/>
      <c r="B26" s="14" t="n"/>
      <c r="C26" s="14" t="n"/>
      <c r="D26" s="14" t="n"/>
      <c r="E26" s="14" t="n"/>
      <c r="F26" s="14" t="n"/>
      <c r="G26" s="14" t="n"/>
      <c r="H26" s="14" t="n"/>
      <c r="I26" s="15">
        <f>IF(OR(D26="",E26="",F26=""),"",D26*F26*(1-IF(G26="",0.15,G26)/100)-D26*E26*(1+IF(G26="",0.15,G26)/100)-IF(H26="",0,H26))</f>
        <v/>
      </c>
      <c r="J26" s="14" t="n"/>
    </row>
    <row r="27">
      <c r="A27" s="14" t="n"/>
      <c r="B27" s="14" t="n"/>
      <c r="C27" s="14" t="n"/>
      <c r="D27" s="14" t="n"/>
      <c r="E27" s="14" t="n"/>
      <c r="F27" s="14" t="n"/>
      <c r="G27" s="14" t="n"/>
      <c r="H27" s="14" t="n"/>
      <c r="I27" s="15">
        <f>IF(OR(D27="",E27="",F27=""),"",D27*F27*(1-IF(G27="",0.15,G27)/100)-D27*E27*(1+IF(G27="",0.15,G27)/100)-IF(H27="",0,H27))</f>
        <v/>
      </c>
      <c r="J27" s="14" t="n"/>
    </row>
    <row r="28">
      <c r="A28" s="14" t="n"/>
      <c r="B28" s="14" t="n"/>
      <c r="C28" s="14" t="n"/>
      <c r="D28" s="14" t="n"/>
      <c r="E28" s="14" t="n"/>
      <c r="F28" s="14" t="n"/>
      <c r="G28" s="14" t="n"/>
      <c r="H28" s="14" t="n"/>
      <c r="I28" s="15">
        <f>IF(OR(D28="",E28="",F28=""),"",D28*F28*(1-IF(G28="",0.15,G28)/100)-D28*E28*(1+IF(G28="",0.15,G28)/100)-IF(H28="",0,H28))</f>
        <v/>
      </c>
      <c r="J28" s="14" t="n"/>
    </row>
    <row r="29">
      <c r="A29" s="14" t="n"/>
      <c r="B29" s="14" t="n"/>
      <c r="C29" s="14" t="n"/>
      <c r="D29" s="14" t="n"/>
      <c r="E29" s="14" t="n"/>
      <c r="F29" s="14" t="n"/>
      <c r="G29" s="14" t="n"/>
      <c r="H29" s="14" t="n"/>
      <c r="I29" s="15">
        <f>IF(OR(D29="",E29="",F29=""),"",D29*F29*(1-IF(G29="",0.15,G29)/100)-D29*E29*(1+IF(G29="",0.15,G29)/100)-IF(H29="",0,H29))</f>
        <v/>
      </c>
      <c r="J29" s="14" t="n"/>
    </row>
    <row r="30">
      <c r="A30" s="14" t="n"/>
      <c r="B30" s="14" t="n"/>
      <c r="C30" s="14" t="n"/>
      <c r="D30" s="14" t="n"/>
      <c r="E30" s="14" t="n"/>
      <c r="F30" s="14" t="n"/>
      <c r="G30" s="14" t="n"/>
      <c r="H30" s="14" t="n"/>
      <c r="I30" s="15">
        <f>IF(OR(D30="",E30="",F30=""),"",D30*F30*(1-IF(G30="",0.15,G30)/100)-D30*E30*(1+IF(G30="",0.15,G30)/100)-IF(H30="",0,H30))</f>
        <v/>
      </c>
      <c r="J30" s="14" t="n"/>
    </row>
    <row r="31">
      <c r="A31" s="14" t="n"/>
      <c r="B31" s="14" t="n"/>
      <c r="C31" s="14" t="n"/>
      <c r="D31" s="14" t="n"/>
      <c r="E31" s="14" t="n"/>
      <c r="F31" s="14" t="n"/>
      <c r="G31" s="14" t="n"/>
      <c r="H31" s="14" t="n"/>
      <c r="I31" s="15">
        <f>IF(OR(D31="",E31="",F31=""),"",D31*F31*(1-IF(G31="",0.15,G31)/100)-D31*E31*(1+IF(G31="",0.15,G31)/100)-IF(H31="",0,H31))</f>
        <v/>
      </c>
      <c r="J31" s="14" t="n"/>
    </row>
    <row r="32">
      <c r="A32" s="14" t="n"/>
      <c r="B32" s="14" t="n"/>
      <c r="C32" s="14" t="n"/>
      <c r="D32" s="14" t="n"/>
      <c r="E32" s="14" t="n"/>
      <c r="F32" s="14" t="n"/>
      <c r="G32" s="14" t="n"/>
      <c r="H32" s="14" t="n"/>
      <c r="I32" s="15">
        <f>IF(OR(D32="",E32="",F32=""),"",D32*F32*(1-IF(G32="",0.15,G32)/100)-D32*E32*(1+IF(G32="",0.15,G32)/100)-IF(H32="",0,H32))</f>
        <v/>
      </c>
      <c r="J32" s="14" t="n"/>
    </row>
    <row r="33">
      <c r="A33" s="14" t="n"/>
      <c r="B33" s="14" t="n"/>
      <c r="C33" s="14" t="n"/>
      <c r="D33" s="14" t="n"/>
      <c r="E33" s="14" t="n"/>
      <c r="F33" s="14" t="n"/>
      <c r="G33" s="14" t="n"/>
      <c r="H33" s="14" t="n"/>
      <c r="I33" s="15">
        <f>IF(OR(D33="",E33="",F33=""),"",D33*F33*(1-IF(G33="",0.15,G33)/100)-D33*E33*(1+IF(G33="",0.15,G33)/100)-IF(H33="",0,H33))</f>
        <v/>
      </c>
      <c r="J33" s="14" t="n"/>
    </row>
    <row r="35">
      <c r="H35" s="11" t="inlineStr">
        <is>
          <t>Total Net P/L</t>
        </is>
      </c>
      <c r="I35" s="17">
        <f>SUM(I4:I33)</f>
        <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5" customWidth="1" min="1" max="1"/>
  </cols>
  <sheetData>
    <row r="1">
      <c r="A1" s="16" t="inlineStr">
        <is>
          <t>PRICES REFRESH</t>
        </is>
      </c>
    </row>
    <row r="3">
      <c r="A3" t="inlineStr">
        <is>
          <t>1. UPDATE_PRICES.bat double-click karein</t>
        </is>
      </c>
    </row>
    <row r="4">
      <c r="A4" t="inlineStr">
        <is>
          <t>2. PSX_Live_Prices.xlsx update hogi</t>
        </is>
      </c>
    </row>
    <row r="5">
      <c r="A5" t="inlineStr">
        <is>
          <t>3. Us file ki PriceLookup sheet copy karein</t>
        </is>
      </c>
    </row>
    <row r="6">
      <c r="A6" t="inlineStr">
        <is>
          <t>4. Is file ki PriceLookup sheet mein paste karein</t>
        </is>
      </c>
    </row>
    <row r="7">
      <c r="A7" t="inlineStr">
        <is>
          <t>5. Trade Calculator mein ticker likhein — naya rate aa jayega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2026-09-05T06:48:40Z</dcterms:created>
  <dcterms:modified xmlns:dcterms="http://purl.org/dc/terms/" xmlns:xsi="http://www.w3.org/2001/XMLSchema-instance" xsi:type="dcterms:W3CDTF">2026-09-05T06:48:40Z</dcterms:modified>
</cp:coreProperties>
</file>