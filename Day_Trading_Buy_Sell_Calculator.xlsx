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de Calculator" sheetId="1" state="visible" r:id="rId3"/>
    <sheet name="Trade Log" sheetId="2" state="visible" r:id="rId4"/>
    <sheet name="Instru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<sst xmlns="http://schemas.openxmlformats.org/spreadsheetml/2006/main" count="98" uniqueCount="95">
  <si>
    <t xml:space="preserve">DAY TRADING BUY / SELL CALCULATOR</t>
  </si>
  <si>
    <t xml:space="preserve">Enter blue text / yellow cells → results calculate automatically</t>
  </si>
  <si>
    <t xml:space="preserve">TRADE INPUTS</t>
  </si>
  <si>
    <t xml:space="preserve">RISK MANAGEMENT (Optional)</t>
  </si>
  <si>
    <t xml:space="preserve">Ticker / Symbol</t>
  </si>
  <si>
    <t xml:space="preserve">AAPL</t>
  </si>
  <si>
    <t xml:space="preserve">Account Size ($)</t>
  </si>
  <si>
    <t xml:space="preserve">Buy Price ($)</t>
  </si>
  <si>
    <t xml:space="preserve">Risk per Trade (%)</t>
  </si>
  <si>
    <t xml:space="preserve">Sell Price ($)</t>
  </si>
  <si>
    <t xml:space="preserve">Stop Loss Price ($)</t>
  </si>
  <si>
    <t xml:space="preserve">Number of Shares</t>
  </si>
  <si>
    <t xml:space="preserve">Buy Commission ($)</t>
  </si>
  <si>
    <t xml:space="preserve">Sell Commission ($)</t>
  </si>
  <si>
    <t xml:space="preserve">TRADE RESULTS</t>
  </si>
  <si>
    <t xml:space="preserve">POSITION SIZING</t>
  </si>
  <si>
    <t xml:space="preserve">Total Cost (Buy)</t>
  </si>
  <si>
    <t xml:space="preserve">Risk Amount ($)</t>
  </si>
  <si>
    <t xml:space="preserve">Total Proceeds (Sell)</t>
  </si>
  <si>
    <t xml:space="preserve">Risk per Share ($)</t>
  </si>
  <si>
    <t xml:space="preserve">Gross Profit / Loss</t>
  </si>
  <si>
    <t xml:space="preserve">Max Shares (by Risk)</t>
  </si>
  <si>
    <t xml:space="preserve">Net Profit / Loss</t>
  </si>
  <si>
    <t xml:space="preserve">Suggested Position $</t>
  </si>
  <si>
    <t xml:space="preserve">Return % (Net)</t>
  </si>
  <si>
    <t xml:space="preserve">Actual Risk (this trade)</t>
  </si>
  <si>
    <t xml:space="preserve">Break-Even Sell Price</t>
  </si>
  <si>
    <t xml:space="preserve">R-Multiple (Reward/Risk)</t>
  </si>
  <si>
    <t xml:space="preserve">Price Change ($)</t>
  </si>
  <si>
    <t xml:space="preserve">Price Change (%)</t>
  </si>
  <si>
    <t xml:space="preserve">HOW TO USE</t>
  </si>
  <si>
    <t xml:space="preserve">1. Yellow cells with blue text are INPUTS — change these values.</t>
  </si>
  <si>
    <t xml:space="preserve">2. Green cells are calculated automatically — do not edit formulas.</t>
  </si>
  <si>
    <t xml:space="preserve">3. Net P/L includes commissions. Positive = profit, negative = loss.</t>
  </si>
  <si>
    <t xml:space="preserve">4. Risk section: set Account Size, Risk %, and Stop Loss to get suggested position size.</t>
  </si>
  <si>
    <t xml:space="preserve">5. R-Multiple shows how many times your risk you made/lost on this trade.</t>
  </si>
  <si>
    <t xml:space="preserve">6. Use the Trade Log sheet to record multiple trades and track daily performance.</t>
  </si>
  <si>
    <t xml:space="preserve">DAY TRADING TRADE LOG</t>
  </si>
  <si>
    <t xml:space="preserve">Enter trade details in yellow cells. P/L and totals calculate automatically.</t>
  </si>
  <si>
    <t xml:space="preserve">#</t>
  </si>
  <si>
    <t xml:space="preserve">Date</t>
  </si>
  <si>
    <t xml:space="preserve">Ticker</t>
  </si>
  <si>
    <t xml:space="preserve">Buy Price</t>
  </si>
  <si>
    <t xml:space="preserve">Sell Price</t>
  </si>
  <si>
    <t xml:space="preserve">Shares</t>
  </si>
  <si>
    <t xml:space="preserve">Buy Fee</t>
  </si>
  <si>
    <t xml:space="preserve">Sell Fee</t>
  </si>
  <si>
    <t xml:space="preserve">Cost Basis</t>
  </si>
  <si>
    <t xml:space="preserve">Proceeds</t>
  </si>
  <si>
    <t xml:space="preserve">Net P/L $</t>
  </si>
  <si>
    <t xml:space="preserve">Net P/L %</t>
  </si>
  <si>
    <t xml:space="preserve">Notes</t>
  </si>
  <si>
    <t xml:space="preserve">2025-01-15</t>
  </si>
  <si>
    <t xml:space="preserve">Morning breakout</t>
  </si>
  <si>
    <t xml:space="preserve">TSLA</t>
  </si>
  <si>
    <t xml:space="preserve">Stopped out</t>
  </si>
  <si>
    <t xml:space="preserve">2025-01-16</t>
  </si>
  <si>
    <t xml:space="preserve">NVDA</t>
  </si>
  <si>
    <t xml:space="preserve">AMD</t>
  </si>
  <si>
    <t xml:space="preserve">Afternoon long</t>
  </si>
  <si>
    <t xml:space="preserve">2025-01-17</t>
  </si>
  <si>
    <t xml:space="preserve">META</t>
  </si>
  <si>
    <t xml:space="preserve">Quick scalp</t>
  </si>
  <si>
    <t xml:space="preserve">DAILY / SESSION SUMMARY</t>
  </si>
  <si>
    <t xml:space="preserve">Total Trades</t>
  </si>
  <si>
    <t xml:space="preserve">Winning Trades</t>
  </si>
  <si>
    <t xml:space="preserve">Losing Trades</t>
  </si>
  <si>
    <t xml:space="preserve">Win Rate %</t>
  </si>
  <si>
    <t xml:space="preserve">Total Net P/L $</t>
  </si>
  <si>
    <t xml:space="preserve">Avg P/L per Trade</t>
  </si>
  <si>
    <t xml:space="preserve">Best Trade $</t>
  </si>
  <si>
    <t xml:space="preserve">Worst Trade $</t>
  </si>
  <si>
    <t xml:space="preserve">DAY TRADING CALCULATOR — INSTRUCTIONS</t>
  </si>
  <si>
    <t xml:space="preserve">SHEET 1 — TRADE CALCULATOR</t>
  </si>
  <si>
    <t xml:space="preserve">• Yellow cells with blue numbers/text are your inputs. Change them freely.</t>
  </si>
  <si>
    <t xml:space="preserve">• Green cells show calculated results. Do not type over the formulas.</t>
  </si>
  <si>
    <t xml:space="preserve">• Enter Buy Price, Sell Price, Shares, and any commissions.</t>
  </si>
  <si>
    <t xml:space="preserve">• Net Profit/Loss = (Sell Proceeds − Sell Fee) − (Buy Cost + Buy Fee).</t>
  </si>
  <si>
    <t xml:space="preserve">• Break-Even Sell Price shows the price needed to cover costs after fees.</t>
  </si>
  <si>
    <t xml:space="preserve">RISK MANAGEMENT SECTION</t>
  </si>
  <si>
    <t xml:space="preserve">• Enter your Account Size and the % of the account you are willing to risk on one trade.</t>
  </si>
  <si>
    <t xml:space="preserve">• Enter your planned Stop Loss price.</t>
  </si>
  <si>
    <t xml:space="preserve">• The calculator shows Max Shares you should take so that if stopped out, you only lose your risk amount.</t>
  </si>
  <si>
    <t xml:space="preserve">• R-Multiple = Net P/L ÷ Actual Risk. Aim for trades with R ≥ 1.5–2+.</t>
  </si>
  <si>
    <t xml:space="preserve">SHEET 2 — TRADE LOG</t>
  </si>
  <si>
    <t xml:space="preserve">• Log every day-trade here. Fill Date, Ticker, Buy/Sell prices, Shares, Fees.</t>
  </si>
  <si>
    <t xml:space="preserve">• Cost Basis, Proceeds, Net P/L $ and % calculate automatically.</t>
  </si>
  <si>
    <t xml:space="preserve">• Winning trades turn green, losing trades turn red.</t>
  </si>
  <si>
    <t xml:space="preserve">• Summary at the bottom shows Total Trades, Win Rate, Total P/L, Best/Worst trade.</t>
  </si>
  <si>
    <t xml:space="preserve">• You can add more rows by copying the formulas down if needed.</t>
  </si>
  <si>
    <t xml:space="preserve">TIPS</t>
  </si>
  <si>
    <t xml:space="preserve">• Always include commissions/fees — they matter on small scalps.</t>
  </si>
  <si>
    <t xml:space="preserve">• Use the position-sizing tool before entering a trade, not after.</t>
  </si>
  <si>
    <t xml:space="preserve">• Review the Trade Log at the end of each session to spot patterns.</t>
  </si>
  <si>
    <t xml:space="preserve">• This tool is for educational/personal tracking. Past performance ≠ future results.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</si>
</sst>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"/>
    <numFmt numFmtId="166" formatCode="0.00%"/>
    <numFmt numFmtId="167" formatCode="#,##0"/>
    <numFmt numFmtId="168" formatCode="\$#,##0.00;&quot;($&quot;#,##0.00\);\-"/>
    <numFmt numFmtId="169" formatCode="0.00%;\(0.00%\);\-"/>
    <numFmt numFmtId="170" formatCode="0.00\x;\(0.00&quot;x)&quot;;\-"/>
    <numFmt numFmtId="171" formatCode="yyyy\-mm\-dd"/>
    <numFmt numFmtId="172" formatCode="0"/>
    <numFmt numFmtId="173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9"/>
      <color rgb="FF333333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99"/>
        <bgColor rgb="FFE2EFDA"/>
      </patternFill>
    </fill>
    <fill>
      <patternFill patternType="solid">
        <fgColor rgb="FFE2EFDA"/>
        <bgColor rgb="FFD6E3F0"/>
      </patternFill>
    </fill>
    <fill>
      <patternFill patternType="solid">
        <fgColor rgb="FFD6E3F0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E2EFDA"/>
      <rgbColor rgb="FFCCFFFF"/>
      <rgbColor rgb="FF660066"/>
      <rgbColor rgb="FFFF8080"/>
      <rgbColor rgb="FF0066CC"/>
      <rgbColor rgb="FFD6E3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3"/>
    <col collapsed="false" customWidth="true" hidden="false" outlineLevel="0" max="5" min="5" style="1" width="22"/>
    <col collapsed="false" customWidth="true" hidden="false" outlineLevel="0" max="6" min="6" style="1" width="16"/>
    <col collapsed="false" customWidth="true" hidden="false" outlineLevel="0" max="7" min="7" style="1" width="3"/>
    <col collapsed="false" customWidth="true" hidden="false" outlineLevel="0" max="8" min="8" style="1" width="18"/>
    <col collapsed="false" customWidth="true" hidden="false" outlineLevel="0" max="9" min="9" style="1" width="14"/>
  </cols>
  <sheetData>
    <row r="2" customFormat="false" ht="30" hidden="false" customHeight="true" outlineLevel="0" collapsed="false">
      <c r="B2" s="2" t="s">
        <v>0</v>
      </c>
      <c r="C2" s="2"/>
      <c r="D2" s="2"/>
      <c r="E2" s="2"/>
      <c r="F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</row>
    <row r="5" customFormat="false" ht="15" hidden="false" customHeight="true" outlineLevel="0" collapsed="false">
      <c r="B5" s="4" t="s">
        <v>2</v>
      </c>
      <c r="C5" s="4"/>
      <c r="E5" s="4" t="s">
        <v>3</v>
      </c>
      <c r="F5" s="4"/>
    </row>
    <row r="6" customFormat="false" ht="15" hidden="false" customHeight="true" outlineLevel="0" collapsed="false">
      <c r="B6" s="5" t="s">
        <v>4</v>
      </c>
      <c r="C6" s="6" t="s">
        <v>5</v>
      </c>
      <c r="E6" s="7" t="s">
        <v>6</v>
      </c>
      <c r="F6" s="8" t="n">
        <v>25000</v>
      </c>
    </row>
    <row r="7" customFormat="false" ht="15" hidden="false" customHeight="true" outlineLevel="0" collapsed="false">
      <c r="B7" s="5" t="s">
        <v>7</v>
      </c>
      <c r="C7" s="8" t="n">
        <v>150</v>
      </c>
      <c r="E7" s="7" t="s">
        <v>8</v>
      </c>
      <c r="F7" s="9" t="n">
        <v>0.01</v>
      </c>
    </row>
    <row r="8" customFormat="false" ht="15" hidden="false" customHeight="true" outlineLevel="0" collapsed="false">
      <c r="B8" s="5" t="s">
        <v>9</v>
      </c>
      <c r="C8" s="8" t="n">
        <v>152.5</v>
      </c>
      <c r="E8" s="7" t="s">
        <v>10</v>
      </c>
      <c r="F8" s="8" t="n">
        <v>148</v>
      </c>
    </row>
    <row r="9" customFormat="false" ht="15" hidden="false" customHeight="true" outlineLevel="0" collapsed="false">
      <c r="B9" s="5" t="s">
        <v>11</v>
      </c>
      <c r="C9" s="10" t="n">
        <v>100</v>
      </c>
    </row>
    <row r="10" customFormat="false" ht="15" hidden="false" customHeight="true" outlineLevel="0" collapsed="false">
      <c r="B10" s="5" t="s">
        <v>12</v>
      </c>
      <c r="C10" s="8" t="n">
        <v>0</v>
      </c>
    </row>
    <row r="11" customFormat="false" ht="15" hidden="false" customHeight="true" outlineLevel="0" collapsed="false">
      <c r="B11" s="5" t="s">
        <v>13</v>
      </c>
      <c r="C11" s="8" t="n">
        <v>0</v>
      </c>
    </row>
    <row r="13" customFormat="false" ht="15" hidden="false" customHeight="true" outlineLevel="0" collapsed="false">
      <c r="B13" s="4" t="s">
        <v>14</v>
      </c>
      <c r="C13" s="4"/>
      <c r="E13" s="4" t="s">
        <v>15</v>
      </c>
      <c r="F13" s="4"/>
    </row>
    <row r="14" customFormat="false" ht="15" hidden="false" customHeight="true" outlineLevel="0" collapsed="false">
      <c r="B14" s="7" t="s">
        <v>16</v>
      </c>
      <c r="C14" s="11" t="n">
        <f aca="false">C7*C9+C10</f>
        <v>15000</v>
      </c>
      <c r="E14" s="7" t="s">
        <v>17</v>
      </c>
      <c r="F14" s="11" t="n">
        <f aca="false">F6*F7</f>
        <v>250</v>
      </c>
    </row>
    <row r="15" customFormat="false" ht="15" hidden="false" customHeight="true" outlineLevel="0" collapsed="false">
      <c r="B15" s="7" t="s">
        <v>18</v>
      </c>
      <c r="C15" s="11" t="n">
        <f aca="false">C8*C9-C11</f>
        <v>15250</v>
      </c>
      <c r="E15" s="7" t="s">
        <v>19</v>
      </c>
      <c r="F15" s="11" t="n">
        <f aca="false">C7-F8</f>
        <v>2</v>
      </c>
    </row>
    <row r="16" customFormat="false" ht="15" hidden="false" customHeight="true" outlineLevel="0" collapsed="false">
      <c r="B16" s="7" t="s">
        <v>20</v>
      </c>
      <c r="C16" s="11" t="n">
        <f aca="false">C8*C9-C7*C9</f>
        <v>250</v>
      </c>
      <c r="E16" s="7" t="s">
        <v>21</v>
      </c>
      <c r="F16" s="12" t="n">
        <f aca="false">IF(F15&lt;=0,0,INT(F14/F15))</f>
        <v>125</v>
      </c>
    </row>
    <row r="17" customFormat="false" ht="15" hidden="false" customHeight="true" outlineLevel="0" collapsed="false">
      <c r="B17" s="13" t="s">
        <v>22</v>
      </c>
      <c r="C17" s="14" t="n">
        <f aca="false">C15-C14</f>
        <v>250</v>
      </c>
      <c r="E17" s="7" t="s">
        <v>23</v>
      </c>
      <c r="F17" s="11" t="n">
        <f aca="false">F16*C7</f>
        <v>18750</v>
      </c>
    </row>
    <row r="18" customFormat="false" ht="15" hidden="false" customHeight="true" outlineLevel="0" collapsed="false">
      <c r="B18" s="7" t="s">
        <v>24</v>
      </c>
      <c r="C18" s="15" t="n">
        <f aca="false">IF(C14=0,0,C17/C14)</f>
        <v>0.0166666666666667</v>
      </c>
      <c r="E18" s="7" t="s">
        <v>25</v>
      </c>
      <c r="F18" s="11" t="n">
        <f aca="false">IF(F15&lt;=0,0,C9*(C7-F8))</f>
        <v>200</v>
      </c>
    </row>
    <row r="19" customFormat="false" ht="15" hidden="false" customHeight="true" outlineLevel="0" collapsed="false">
      <c r="B19" s="7" t="s">
        <v>26</v>
      </c>
      <c r="C19" s="11" t="n">
        <f aca="false">IF(C9=0,0,(C14)/C9)</f>
        <v>150</v>
      </c>
      <c r="E19" s="7" t="s">
        <v>27</v>
      </c>
      <c r="F19" s="16" t="n">
        <f aca="false">IF(F18=0,0,C17/F18)</f>
        <v>1.25</v>
      </c>
    </row>
    <row r="20" customFormat="false" ht="15" hidden="false" customHeight="true" outlineLevel="0" collapsed="false">
      <c r="B20" s="7" t="s">
        <v>28</v>
      </c>
      <c r="C20" s="11" t="n">
        <f aca="false">C8-C7</f>
        <v>2.5</v>
      </c>
    </row>
    <row r="21" customFormat="false" ht="15" hidden="false" customHeight="true" outlineLevel="0" collapsed="false">
      <c r="B21" s="7" t="s">
        <v>29</v>
      </c>
      <c r="C21" s="15" t="n">
        <f aca="false">IF(C7=0,0,(C8-C7)/C7)</f>
        <v>0.0166666666666667</v>
      </c>
    </row>
    <row r="23" customFormat="false" ht="15" hidden="false" customHeight="true" outlineLevel="0" collapsed="false">
      <c r="B23" s="17" t="s">
        <v>30</v>
      </c>
      <c r="C23" s="17"/>
      <c r="D23" s="17"/>
      <c r="E23" s="17"/>
      <c r="F23" s="17"/>
    </row>
    <row r="24" customFormat="false" ht="15" hidden="false" customHeight="true" outlineLevel="0" collapsed="false">
      <c r="B24" s="18" t="s">
        <v>31</v>
      </c>
      <c r="C24" s="18"/>
      <c r="D24" s="18"/>
      <c r="E24" s="18"/>
      <c r="F24" s="18"/>
    </row>
    <row r="25" customFormat="false" ht="15" hidden="false" customHeight="true" outlineLevel="0" collapsed="false">
      <c r="B25" s="18" t="s">
        <v>32</v>
      </c>
      <c r="C25" s="18"/>
      <c r="D25" s="18"/>
      <c r="E25" s="18"/>
      <c r="F25" s="18"/>
    </row>
    <row r="26" customFormat="false" ht="15" hidden="false" customHeight="true" outlineLevel="0" collapsed="false">
      <c r="B26" s="18" t="s">
        <v>33</v>
      </c>
      <c r="C26" s="18"/>
      <c r="D26" s="18"/>
      <c r="E26" s="18"/>
      <c r="F26" s="18"/>
    </row>
    <row r="27" customFormat="false" ht="15" hidden="false" customHeight="true" outlineLevel="0" collapsed="false">
      <c r="B27" s="18" t="s">
        <v>34</v>
      </c>
      <c r="C27" s="18"/>
      <c r="D27" s="18"/>
      <c r="E27" s="18"/>
      <c r="F27" s="18"/>
    </row>
    <row r="28" customFormat="false" ht="15" hidden="false" customHeight="true" outlineLevel="0" collapsed="false">
      <c r="B28" s="18" t="s">
        <v>35</v>
      </c>
      <c r="C28" s="18"/>
      <c r="D28" s="18"/>
      <c r="E28" s="18"/>
      <c r="F28" s="18"/>
    </row>
    <row r="29" customFormat="false" ht="15" hidden="false" customHeight="true" outlineLevel="0" collapsed="false">
      <c r="B29" s="18" t="s">
        <v>36</v>
      </c>
      <c r="C29" s="18"/>
      <c r="D29" s="18"/>
      <c r="E29" s="18"/>
      <c r="F29" s="18"/>
    </row>
  </sheetData>
  <mergeCells count="13">
    <mergeCell ref="B2:F2"/>
    <mergeCell ref="B3:F3"/>
    <mergeCell ref="B5:C5"/>
    <mergeCell ref="E5:F5"/>
    <mergeCell ref="B13:C13"/>
    <mergeCell ref="E13:F13"/>
    <mergeCell ref="B23:F23"/>
    <mergeCell ref="B24:F24"/>
    <mergeCell ref="B25:F25"/>
    <mergeCell ref="B26:F26"/>
    <mergeCell ref="B27:F27"/>
    <mergeCell ref="B28:F28"/>
    <mergeCell ref="B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5" min="4" style="1" width="11"/>
    <col collapsed="false" customWidth="true" hidden="false" outlineLevel="0" max="6" min="6" style="1" width="10"/>
    <col collapsed="false" customWidth="true" hidden="false" outlineLevel="0" max="8" min="7" style="1" width="11"/>
    <col collapsed="false" customWidth="true" hidden="false" outlineLevel="0" max="10" min="9" style="1" width="12"/>
    <col collapsed="false" customWidth="true" hidden="false" outlineLevel="0" max="11" min="11" style="1" width="11"/>
    <col collapsed="false" customWidth="true" hidden="false" outlineLevel="0" max="12" min="12" style="1" width="10"/>
    <col collapsed="false" customWidth="true" hidden="false" outlineLevel="0" max="13" min="13" style="1" width="14"/>
    <col collapsed="false" customWidth="true" hidden="false" outlineLevel="0" max="14" min="14" style="1" width="12"/>
  </cols>
  <sheetData>
    <row r="2" customFormat="false" ht="27.75" hidden="false" customHeight="true" outlineLevel="0" collapsed="false">
      <c r="B2" s="2" t="s">
        <v>37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true" outlineLevel="0" collapsed="false">
      <c r="B3" s="3" t="s">
        <v>38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customFormat="false" ht="21.75" hidden="false" customHeight="true" outlineLevel="0" collapsed="false">
      <c r="A5" s="19" t="s">
        <v>39</v>
      </c>
      <c r="B5" s="19" t="s">
        <v>40</v>
      </c>
      <c r="C5" s="19" t="s">
        <v>41</v>
      </c>
      <c r="D5" s="19" t="s">
        <v>42</v>
      </c>
      <c r="E5" s="19" t="s">
        <v>43</v>
      </c>
      <c r="F5" s="19" t="s">
        <v>44</v>
      </c>
      <c r="G5" s="19" t="s">
        <v>45</v>
      </c>
      <c r="H5" s="19" t="s">
        <v>46</v>
      </c>
      <c r="I5" s="19" t="s">
        <v>47</v>
      </c>
      <c r="J5" s="19" t="s">
        <v>48</v>
      </c>
      <c r="K5" s="19" t="s">
        <v>49</v>
      </c>
      <c r="L5" s="19" t="s">
        <v>50</v>
      </c>
      <c r="M5" s="19" t="s">
        <v>51</v>
      </c>
    </row>
    <row r="6" customFormat="false" ht="15" hidden="false" customHeight="true" outlineLevel="0" collapsed="false">
      <c r="A6" s="20" t="n">
        <v>1</v>
      </c>
      <c r="B6" s="21" t="s">
        <v>52</v>
      </c>
      <c r="C6" s="6" t="s">
        <v>5</v>
      </c>
      <c r="D6" s="8" t="n">
        <v>150</v>
      </c>
      <c r="E6" s="8" t="n">
        <v>152.5</v>
      </c>
      <c r="F6" s="10" t="n">
        <v>100</v>
      </c>
      <c r="G6" s="8" t="n">
        <v>0</v>
      </c>
      <c r="H6" s="8" t="n">
        <v>0</v>
      </c>
      <c r="I6" s="11" t="n">
        <f aca="false">IF(OR(D6="",F6=""),"",D6*F6+G6)</f>
        <v>15000</v>
      </c>
      <c r="J6" s="11" t="n">
        <f aca="false">IF(OR(E6="",F6=""),"",E6*F6-H6)</f>
        <v>15250</v>
      </c>
      <c r="K6" s="11" t="n">
        <f aca="false">IF(OR(I6="",J6=""),"",J6-I6)</f>
        <v>250</v>
      </c>
      <c r="L6" s="15" t="n">
        <f aca="false">IF(OR(I6="",I6=0),"",K6/I6)</f>
        <v>0.0166666666666667</v>
      </c>
      <c r="M6" s="22" t="s">
        <v>53</v>
      </c>
    </row>
    <row r="7" customFormat="false" ht="15" hidden="false" customHeight="true" outlineLevel="0" collapsed="false">
      <c r="A7" s="20" t="n">
        <v>2</v>
      </c>
      <c r="B7" s="21" t="s">
        <v>52</v>
      </c>
      <c r="C7" s="6" t="s">
        <v>54</v>
      </c>
      <c r="D7" s="8" t="n">
        <v>245</v>
      </c>
      <c r="E7" s="8" t="n">
        <v>241.5</v>
      </c>
      <c r="F7" s="10" t="n">
        <v>50</v>
      </c>
      <c r="G7" s="8" t="n">
        <v>0</v>
      </c>
      <c r="H7" s="8" t="n">
        <v>0</v>
      </c>
      <c r="I7" s="11" t="n">
        <f aca="false">IF(OR(D7="",F7=""),"",D7*F7+G7)</f>
        <v>12250</v>
      </c>
      <c r="J7" s="11" t="n">
        <f aca="false">IF(OR(E7="",F7=""),"",E7*F7-H7)</f>
        <v>12075</v>
      </c>
      <c r="K7" s="11" t="n">
        <f aca="false">IF(OR(I7="",J7=""),"",J7-I7)</f>
        <v>-175</v>
      </c>
      <c r="L7" s="15" t="n">
        <f aca="false">IF(OR(I7="",I7=0),"",K7/I7)</f>
        <v>-0.0142857142857143</v>
      </c>
      <c r="M7" s="22" t="s">
        <v>55</v>
      </c>
    </row>
    <row r="8" customFormat="false" ht="15" hidden="false" customHeight="true" outlineLevel="0" collapsed="false">
      <c r="A8" s="20" t="n">
        <v>3</v>
      </c>
      <c r="B8" s="21" t="s">
        <v>56</v>
      </c>
      <c r="C8" s="6" t="s">
        <v>57</v>
      </c>
      <c r="D8" s="8" t="n">
        <v>480</v>
      </c>
      <c r="E8" s="8" t="n">
        <v>485.2</v>
      </c>
      <c r="F8" s="10" t="n">
        <v>20</v>
      </c>
      <c r="G8" s="8" t="n">
        <v>0</v>
      </c>
      <c r="H8" s="8" t="n">
        <v>0</v>
      </c>
      <c r="I8" s="11" t="n">
        <f aca="false">IF(OR(D8="",F8=""),"",D8*F8+G8)</f>
        <v>9600</v>
      </c>
      <c r="J8" s="11" t="n">
        <f aca="false">IF(OR(E8="",F8=""),"",E8*F8-H8)</f>
        <v>9704</v>
      </c>
      <c r="K8" s="11" t="n">
        <f aca="false">IF(OR(I8="",J8=""),"",J8-I8)</f>
        <v>104</v>
      </c>
      <c r="L8" s="15" t="n">
        <f aca="false">IF(OR(I8="",I8=0),"",K8/I8)</f>
        <v>0.0108333333333333</v>
      </c>
      <c r="M8" s="22"/>
    </row>
    <row r="9" customFormat="false" ht="15" hidden="false" customHeight="true" outlineLevel="0" collapsed="false">
      <c r="A9" s="20" t="n">
        <v>4</v>
      </c>
      <c r="B9" s="21" t="s">
        <v>56</v>
      </c>
      <c r="C9" s="6" t="s">
        <v>58</v>
      </c>
      <c r="D9" s="8" t="n">
        <v>125.5</v>
      </c>
      <c r="E9" s="8" t="n">
        <v>128</v>
      </c>
      <c r="F9" s="10" t="n">
        <v>80</v>
      </c>
      <c r="G9" s="8" t="n">
        <v>1.5</v>
      </c>
      <c r="H9" s="8" t="n">
        <v>1.5</v>
      </c>
      <c r="I9" s="11" t="n">
        <f aca="false">IF(OR(D9="",F9=""),"",D9*F9+G9)</f>
        <v>10041.5</v>
      </c>
      <c r="J9" s="11" t="n">
        <f aca="false">IF(OR(E9="",F9=""),"",E9*F9-H9)</f>
        <v>10238.5</v>
      </c>
      <c r="K9" s="11" t="n">
        <f aca="false">IF(OR(I9="",J9=""),"",J9-I9)</f>
        <v>197</v>
      </c>
      <c r="L9" s="15" t="n">
        <f aca="false">IF(OR(I9="",I9=0),"",K9/I9)</f>
        <v>0.0196185828810437</v>
      </c>
      <c r="M9" s="22" t="s">
        <v>59</v>
      </c>
    </row>
    <row r="10" customFormat="false" ht="15" hidden="false" customHeight="true" outlineLevel="0" collapsed="false">
      <c r="A10" s="20" t="n">
        <v>5</v>
      </c>
      <c r="B10" s="21" t="s">
        <v>60</v>
      </c>
      <c r="C10" s="6" t="s">
        <v>61</v>
      </c>
      <c r="D10" s="8" t="n">
        <v>520</v>
      </c>
      <c r="E10" s="8" t="n">
        <v>518</v>
      </c>
      <c r="F10" s="10" t="n">
        <v>30</v>
      </c>
      <c r="G10" s="8" t="n">
        <v>0</v>
      </c>
      <c r="H10" s="8" t="n">
        <v>0</v>
      </c>
      <c r="I10" s="11" t="n">
        <f aca="false">IF(OR(D10="",F10=""),"",D10*F10+G10)</f>
        <v>15600</v>
      </c>
      <c r="J10" s="11" t="n">
        <f aca="false">IF(OR(E10="",F10=""),"",E10*F10-H10)</f>
        <v>15540</v>
      </c>
      <c r="K10" s="11" t="n">
        <f aca="false">IF(OR(I10="",J10=""),"",J10-I10)</f>
        <v>-60</v>
      </c>
      <c r="L10" s="15" t="n">
        <f aca="false">IF(OR(I10="",I10=0),"",K10/I10)</f>
        <v>-0.00384615384615385</v>
      </c>
      <c r="M10" s="22" t="s">
        <v>62</v>
      </c>
    </row>
    <row r="11" customFormat="false" ht="15" hidden="false" customHeight="true" outlineLevel="0" collapsed="false">
      <c r="A11" s="20" t="n">
        <v>6</v>
      </c>
      <c r="B11" s="21"/>
      <c r="C11" s="6"/>
      <c r="D11" s="8"/>
      <c r="E11" s="8"/>
      <c r="F11" s="10"/>
      <c r="G11" s="8"/>
      <c r="H11" s="8"/>
      <c r="I11" s="11" t="str">
        <f aca="false">IF(OR(D11="",F11=""),"",D11*F11+G11)</f>
        <v/>
      </c>
      <c r="J11" s="11" t="str">
        <f aca="false">IF(OR(E11="",F11=""),"",E11*F11-H11)</f>
        <v/>
      </c>
      <c r="K11" s="11" t="str">
        <f aca="false">IF(OR(I11="",J11=""),"",J11-I11)</f>
        <v/>
      </c>
      <c r="L11" s="15" t="str">
        <f aca="false">IF(OR(I11="",I11=0),"",K11/I11)</f>
        <v/>
      </c>
      <c r="M11" s="22"/>
    </row>
    <row r="12" customFormat="false" ht="15" hidden="false" customHeight="true" outlineLevel="0" collapsed="false">
      <c r="A12" s="20" t="n">
        <v>7</v>
      </c>
      <c r="B12" s="21"/>
      <c r="C12" s="6"/>
      <c r="D12" s="8"/>
      <c r="E12" s="8"/>
      <c r="F12" s="10"/>
      <c r="G12" s="8"/>
      <c r="H12" s="8"/>
      <c r="I12" s="11" t="str">
        <f aca="false">IF(OR(D12="",F12=""),"",D12*F12+G12)</f>
        <v/>
      </c>
      <c r="J12" s="11" t="str">
        <f aca="false">IF(OR(E12="",F12=""),"",E12*F12-H12)</f>
        <v/>
      </c>
      <c r="K12" s="11" t="str">
        <f aca="false">IF(OR(I12="",J12=""),"",J12-I12)</f>
        <v/>
      </c>
      <c r="L12" s="15" t="str">
        <f aca="false">IF(OR(I12="",I12=0),"",K12/I12)</f>
        <v/>
      </c>
      <c r="M12" s="22"/>
    </row>
    <row r="13" customFormat="false" ht="15" hidden="false" customHeight="true" outlineLevel="0" collapsed="false">
      <c r="A13" s="20" t="n">
        <v>8</v>
      </c>
      <c r="B13" s="21"/>
      <c r="C13" s="6"/>
      <c r="D13" s="8"/>
      <c r="E13" s="8"/>
      <c r="F13" s="10"/>
      <c r="G13" s="8"/>
      <c r="H13" s="8"/>
      <c r="I13" s="11" t="str">
        <f aca="false">IF(OR(D13="",F13=""),"",D13*F13+G13)</f>
        <v/>
      </c>
      <c r="J13" s="11" t="str">
        <f aca="false">IF(OR(E13="",F13=""),"",E13*F13-H13)</f>
        <v/>
      </c>
      <c r="K13" s="11" t="str">
        <f aca="false">IF(OR(I13="",J13=""),"",J13-I13)</f>
        <v/>
      </c>
      <c r="L13" s="15" t="str">
        <f aca="false">IF(OR(I13="",I13=0),"",K13/I13)</f>
        <v/>
      </c>
      <c r="M13" s="22"/>
    </row>
    <row r="14" customFormat="false" ht="15" hidden="false" customHeight="true" outlineLevel="0" collapsed="false">
      <c r="A14" s="20" t="n">
        <v>9</v>
      </c>
      <c r="B14" s="21"/>
      <c r="C14" s="6"/>
      <c r="D14" s="8"/>
      <c r="E14" s="8"/>
      <c r="F14" s="10"/>
      <c r="G14" s="8"/>
      <c r="H14" s="8"/>
      <c r="I14" s="11" t="str">
        <f aca="false">IF(OR(D14="",F14=""),"",D14*F14+G14)</f>
        <v/>
      </c>
      <c r="J14" s="11" t="str">
        <f aca="false">IF(OR(E14="",F14=""),"",E14*F14-H14)</f>
        <v/>
      </c>
      <c r="K14" s="11" t="str">
        <f aca="false">IF(OR(I14="",J14=""),"",J14-I14)</f>
        <v/>
      </c>
      <c r="L14" s="15" t="str">
        <f aca="false">IF(OR(I14="",I14=0),"",K14/I14)</f>
        <v/>
      </c>
      <c r="M14" s="22"/>
    </row>
    <row r="15" customFormat="false" ht="15" hidden="false" customHeight="true" outlineLevel="0" collapsed="false">
      <c r="A15" s="20" t="n">
        <v>10</v>
      </c>
      <c r="B15" s="21"/>
      <c r="C15" s="6"/>
      <c r="D15" s="8"/>
      <c r="E15" s="8"/>
      <c r="F15" s="10"/>
      <c r="G15" s="8"/>
      <c r="H15" s="8"/>
      <c r="I15" s="11" t="str">
        <f aca="false">IF(OR(D15="",F15=""),"",D15*F15+G15)</f>
        <v/>
      </c>
      <c r="J15" s="11" t="str">
        <f aca="false">IF(OR(E15="",F15=""),"",E15*F15-H15)</f>
        <v/>
      </c>
      <c r="K15" s="11" t="str">
        <f aca="false">IF(OR(I15="",J15=""),"",J15-I15)</f>
        <v/>
      </c>
      <c r="L15" s="15" t="str">
        <f aca="false">IF(OR(I15="",I15=0),"",K15/I15)</f>
        <v/>
      </c>
      <c r="M15" s="22"/>
    </row>
    <row r="16" customFormat="false" ht="15" hidden="false" customHeight="true" outlineLevel="0" collapsed="false">
      <c r="A16" s="20" t="n">
        <v>11</v>
      </c>
      <c r="B16" s="21"/>
      <c r="C16" s="6"/>
      <c r="D16" s="8"/>
      <c r="E16" s="8"/>
      <c r="F16" s="10"/>
      <c r="G16" s="8"/>
      <c r="H16" s="8"/>
      <c r="I16" s="11" t="str">
        <f aca="false">IF(OR(D16="",F16=""),"",D16*F16+G16)</f>
        <v/>
      </c>
      <c r="J16" s="11" t="str">
        <f aca="false">IF(OR(E16="",F16=""),"",E16*F16-H16)</f>
        <v/>
      </c>
      <c r="K16" s="11" t="str">
        <f aca="false">IF(OR(I16="",J16=""),"",J16-I16)</f>
        <v/>
      </c>
      <c r="L16" s="15" t="str">
        <f aca="false">IF(OR(I16="",I16=0),"",K16/I16)</f>
        <v/>
      </c>
      <c r="M16" s="22"/>
    </row>
    <row r="17" customFormat="false" ht="15" hidden="false" customHeight="true" outlineLevel="0" collapsed="false">
      <c r="A17" s="20" t="n">
        <v>12</v>
      </c>
      <c r="B17" s="21"/>
      <c r="C17" s="6"/>
      <c r="D17" s="8"/>
      <c r="E17" s="8"/>
      <c r="F17" s="10"/>
      <c r="G17" s="8"/>
      <c r="H17" s="8"/>
      <c r="I17" s="11" t="str">
        <f aca="false">IF(OR(D17="",F17=""),"",D17*F17+G17)</f>
        <v/>
      </c>
      <c r="J17" s="11" t="str">
        <f aca="false">IF(OR(E17="",F17=""),"",E17*F17-H17)</f>
        <v/>
      </c>
      <c r="K17" s="11" t="str">
        <f aca="false">IF(OR(I17="",J17=""),"",J17-I17)</f>
        <v/>
      </c>
      <c r="L17" s="15" t="str">
        <f aca="false">IF(OR(I17="",I17=0),"",K17/I17)</f>
        <v/>
      </c>
      <c r="M17" s="22"/>
    </row>
    <row r="18" customFormat="false" ht="15" hidden="false" customHeight="true" outlineLevel="0" collapsed="false">
      <c r="A18" s="20" t="n">
        <v>13</v>
      </c>
      <c r="B18" s="21"/>
      <c r="C18" s="6"/>
      <c r="D18" s="8"/>
      <c r="E18" s="8"/>
      <c r="F18" s="10"/>
      <c r="G18" s="8"/>
      <c r="H18" s="8"/>
      <c r="I18" s="11" t="str">
        <f aca="false">IF(OR(D18="",F18=""),"",D18*F18+G18)</f>
        <v/>
      </c>
      <c r="J18" s="11" t="str">
        <f aca="false">IF(OR(E18="",F18=""),"",E18*F18-H18)</f>
        <v/>
      </c>
      <c r="K18" s="11" t="str">
        <f aca="false">IF(OR(I18="",J18=""),"",J18-I18)</f>
        <v/>
      </c>
      <c r="L18" s="15" t="str">
        <f aca="false">IF(OR(I18="",I18=0),"",K18/I18)</f>
        <v/>
      </c>
      <c r="M18" s="22"/>
    </row>
    <row r="19" customFormat="false" ht="15" hidden="false" customHeight="true" outlineLevel="0" collapsed="false">
      <c r="A19" s="20" t="n">
        <v>14</v>
      </c>
      <c r="B19" s="21"/>
      <c r="C19" s="6"/>
      <c r="D19" s="8"/>
      <c r="E19" s="8"/>
      <c r="F19" s="10"/>
      <c r="G19" s="8"/>
      <c r="H19" s="8"/>
      <c r="I19" s="11" t="str">
        <f aca="false">IF(OR(D19="",F19=""),"",D19*F19+G19)</f>
        <v/>
      </c>
      <c r="J19" s="11" t="str">
        <f aca="false">IF(OR(E19="",F19=""),"",E19*F19-H19)</f>
        <v/>
      </c>
      <c r="K19" s="11" t="str">
        <f aca="false">IF(OR(I19="",J19=""),"",J19-I19)</f>
        <v/>
      </c>
      <c r="L19" s="15" t="str">
        <f aca="false">IF(OR(I19="",I19=0),"",K19/I19)</f>
        <v/>
      </c>
      <c r="M19" s="22"/>
    </row>
    <row r="20" customFormat="false" ht="15" hidden="false" customHeight="true" outlineLevel="0" collapsed="false">
      <c r="A20" s="20" t="n">
        <v>15</v>
      </c>
      <c r="B20" s="21"/>
      <c r="C20" s="6"/>
      <c r="D20" s="8"/>
      <c r="E20" s="8"/>
      <c r="F20" s="10"/>
      <c r="G20" s="8"/>
      <c r="H20" s="8"/>
      <c r="I20" s="11" t="str">
        <f aca="false">IF(OR(D20="",F20=""),"",D20*F20+G20)</f>
        <v/>
      </c>
      <c r="J20" s="11" t="str">
        <f aca="false">IF(OR(E20="",F20=""),"",E20*F20-H20)</f>
        <v/>
      </c>
      <c r="K20" s="11" t="str">
        <f aca="false">IF(OR(I20="",J20=""),"",J20-I20)</f>
        <v/>
      </c>
      <c r="L20" s="15" t="str">
        <f aca="false">IF(OR(I20="",I20=0),"",K20/I20)</f>
        <v/>
      </c>
      <c r="M20" s="22"/>
    </row>
    <row r="21" customFormat="false" ht="15" hidden="false" customHeight="true" outlineLevel="0" collapsed="false">
      <c r="A21" s="20" t="n">
        <v>16</v>
      </c>
      <c r="B21" s="21"/>
      <c r="C21" s="6"/>
      <c r="D21" s="8"/>
      <c r="E21" s="8"/>
      <c r="F21" s="10"/>
      <c r="G21" s="8"/>
      <c r="H21" s="8"/>
      <c r="I21" s="11" t="str">
        <f aca="false">IF(OR(D21="",F21=""),"",D21*F21+G21)</f>
        <v/>
      </c>
      <c r="J21" s="11" t="str">
        <f aca="false">IF(OR(E21="",F21=""),"",E21*F21-H21)</f>
        <v/>
      </c>
      <c r="K21" s="11" t="str">
        <f aca="false">IF(OR(I21="",J21=""),"",J21-I21)</f>
        <v/>
      </c>
      <c r="L21" s="15" t="str">
        <f aca="false">IF(OR(I21="",I21=0),"",K21/I21)</f>
        <v/>
      </c>
      <c r="M21" s="22"/>
    </row>
    <row r="22" customFormat="false" ht="15" hidden="false" customHeight="true" outlineLevel="0" collapsed="false">
      <c r="A22" s="20" t="n">
        <v>17</v>
      </c>
      <c r="B22" s="21"/>
      <c r="C22" s="6"/>
      <c r="D22" s="8"/>
      <c r="E22" s="8"/>
      <c r="F22" s="10"/>
      <c r="G22" s="8"/>
      <c r="H22" s="8"/>
      <c r="I22" s="11" t="str">
        <f aca="false">IF(OR(D22="",F22=""),"",D22*F22+G22)</f>
        <v/>
      </c>
      <c r="J22" s="11" t="str">
        <f aca="false">IF(OR(E22="",F22=""),"",E22*F22-H22)</f>
        <v/>
      </c>
      <c r="K22" s="11" t="str">
        <f aca="false">IF(OR(I22="",J22=""),"",J22-I22)</f>
        <v/>
      </c>
      <c r="L22" s="15" t="str">
        <f aca="false">IF(OR(I22="",I22=0),"",K22/I22)</f>
        <v/>
      </c>
      <c r="M22" s="22"/>
    </row>
    <row r="23" customFormat="false" ht="15" hidden="false" customHeight="true" outlineLevel="0" collapsed="false">
      <c r="A23" s="20" t="n">
        <v>18</v>
      </c>
      <c r="B23" s="21"/>
      <c r="C23" s="6"/>
      <c r="D23" s="8"/>
      <c r="E23" s="8"/>
      <c r="F23" s="10"/>
      <c r="G23" s="8"/>
      <c r="H23" s="8"/>
      <c r="I23" s="11" t="str">
        <f aca="false">IF(OR(D23="",F23=""),"",D23*F23+G23)</f>
        <v/>
      </c>
      <c r="J23" s="11" t="str">
        <f aca="false">IF(OR(E23="",F23=""),"",E23*F23-H23)</f>
        <v/>
      </c>
      <c r="K23" s="11" t="str">
        <f aca="false">IF(OR(I23="",J23=""),"",J23-I23)</f>
        <v/>
      </c>
      <c r="L23" s="15" t="str">
        <f aca="false">IF(OR(I23="",I23=0),"",K23/I23)</f>
        <v/>
      </c>
      <c r="M23" s="22"/>
    </row>
    <row r="24" customFormat="false" ht="15" hidden="false" customHeight="true" outlineLevel="0" collapsed="false">
      <c r="A24" s="20" t="n">
        <v>19</v>
      </c>
      <c r="B24" s="21"/>
      <c r="C24" s="6"/>
      <c r="D24" s="8"/>
      <c r="E24" s="8"/>
      <c r="F24" s="10"/>
      <c r="G24" s="8"/>
      <c r="H24" s="8"/>
      <c r="I24" s="11" t="str">
        <f aca="false">IF(OR(D24="",F24=""),"",D24*F24+G24)</f>
        <v/>
      </c>
      <c r="J24" s="11" t="str">
        <f aca="false">IF(OR(E24="",F24=""),"",E24*F24-H24)</f>
        <v/>
      </c>
      <c r="K24" s="11" t="str">
        <f aca="false">IF(OR(I24="",J24=""),"",J24-I24)</f>
        <v/>
      </c>
      <c r="L24" s="15" t="str">
        <f aca="false">IF(OR(I24="",I24=0),"",K24/I24)</f>
        <v/>
      </c>
      <c r="M24" s="22"/>
    </row>
    <row r="25" customFormat="false" ht="15" hidden="false" customHeight="true" outlineLevel="0" collapsed="false">
      <c r="A25" s="20" t="n">
        <v>20</v>
      </c>
      <c r="B25" s="21"/>
      <c r="C25" s="6"/>
      <c r="D25" s="8"/>
      <c r="E25" s="8"/>
      <c r="F25" s="10"/>
      <c r="G25" s="8"/>
      <c r="H25" s="8"/>
      <c r="I25" s="11" t="str">
        <f aca="false">IF(OR(D25="",F25=""),"",D25*F25+G25)</f>
        <v/>
      </c>
      <c r="J25" s="11" t="str">
        <f aca="false">IF(OR(E25="",F25=""),"",E25*F25-H25)</f>
        <v/>
      </c>
      <c r="K25" s="11" t="str">
        <f aca="false">IF(OR(I25="",J25=""),"",J25-I25)</f>
        <v/>
      </c>
      <c r="L25" s="15" t="str">
        <f aca="false">IF(OR(I25="",I25=0),"",K25/I25)</f>
        <v/>
      </c>
      <c r="M25" s="22"/>
    </row>
    <row r="27" customFormat="false" ht="15" hidden="false" customHeight="true" outlineLevel="0" collapsed="false">
      <c r="B27" s="4" t="s">
        <v>63</v>
      </c>
      <c r="C27" s="4"/>
      <c r="D27" s="4"/>
    </row>
    <row r="28" customFormat="false" ht="15" hidden="false" customHeight="true" outlineLevel="0" collapsed="false">
      <c r="B28" s="7" t="s">
        <v>64</v>
      </c>
      <c r="C28" s="23" t="n">
        <f aca="false">COUNTA(C6:C25)</f>
        <v>5</v>
      </c>
    </row>
    <row r="29" customFormat="false" ht="15" hidden="false" customHeight="true" outlineLevel="0" collapsed="false">
      <c r="B29" s="7" t="s">
        <v>65</v>
      </c>
      <c r="C29" s="23" t="n">
        <f aca="false">COUNTIF(K6:K25,"&gt;0")</f>
        <v>3</v>
      </c>
    </row>
    <row r="30" customFormat="false" ht="15" hidden="false" customHeight="true" outlineLevel="0" collapsed="false">
      <c r="B30" s="7" t="s">
        <v>66</v>
      </c>
      <c r="C30" s="23" t="n">
        <f aca="false">COUNTIF(K6:K25,"&lt;0")</f>
        <v>2</v>
      </c>
    </row>
    <row r="31" customFormat="false" ht="15" hidden="false" customHeight="true" outlineLevel="0" collapsed="false">
      <c r="B31" s="7" t="s">
        <v>67</v>
      </c>
      <c r="C31" s="24" t="n">
        <f aca="false">IF(C28=0,0,C29/C28)</f>
        <v>0.6</v>
      </c>
    </row>
    <row r="32" customFormat="false" ht="15" hidden="false" customHeight="true" outlineLevel="0" collapsed="false">
      <c r="B32" s="13" t="s">
        <v>68</v>
      </c>
      <c r="C32" s="14" t="n">
        <f aca="false">SUM(K6:K25)</f>
        <v>316</v>
      </c>
    </row>
    <row r="33" customFormat="false" ht="15" hidden="false" customHeight="true" outlineLevel="0" collapsed="false">
      <c r="B33" s="7" t="s">
        <v>69</v>
      </c>
      <c r="C33" s="11" t="n">
        <f aca="false">IF(C28=0,0,C32/C28)</f>
        <v>63.2</v>
      </c>
    </row>
    <row r="34" customFormat="false" ht="15" hidden="false" customHeight="true" outlineLevel="0" collapsed="false">
      <c r="B34" s="7" t="s">
        <v>70</v>
      </c>
      <c r="C34" s="11" t="n">
        <f aca="false">IF(COUNT(K6:K25)=0,0,MAX(K6:K25))</f>
        <v>250</v>
      </c>
    </row>
    <row r="35" customFormat="false" ht="15" hidden="false" customHeight="true" outlineLevel="0" collapsed="false">
      <c r="B35" s="7" t="s">
        <v>71</v>
      </c>
      <c r="C35" s="11" t="n">
        <f aca="false">IF(COUNT(K6:K25)=0,0,MIN(K6:K25))</f>
        <v>-175</v>
      </c>
    </row>
  </sheetData>
  <mergeCells count="3">
    <mergeCell ref="B2:M2"/>
    <mergeCell ref="B3:M3"/>
    <mergeCell ref="B27:D27"/>
  </mergeCells>
  <conditionalFormatting sqref="K6:K25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L6:L25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0"/>
  </cols>
  <sheetData>
    <row r="2" customFormat="false" ht="27.75" hidden="false" customHeight="true" outlineLevel="0" collapsed="false">
      <c r="B2" s="25" t="s">
        <v>72</v>
      </c>
    </row>
    <row r="3" customFormat="false" ht="15" hidden="false" customHeight="true" outlineLevel="0" collapsed="false">
      <c r="B3" s="26"/>
    </row>
    <row r="4" customFormat="false" ht="15" hidden="false" customHeight="true" outlineLevel="0" collapsed="false">
      <c r="B4" s="27" t="s">
        <v>73</v>
      </c>
    </row>
    <row r="5" customFormat="false" ht="15" hidden="false" customHeight="true" outlineLevel="0" collapsed="false">
      <c r="B5" s="26" t="s">
        <v>74</v>
      </c>
    </row>
    <row r="6" customFormat="false" ht="15" hidden="false" customHeight="true" outlineLevel="0" collapsed="false">
      <c r="B6" s="26" t="s">
        <v>75</v>
      </c>
    </row>
    <row r="7" customFormat="false" ht="15" hidden="false" customHeight="true" outlineLevel="0" collapsed="false">
      <c r="B7" s="26" t="s">
        <v>76</v>
      </c>
    </row>
    <row r="8" customFormat="false" ht="15" hidden="false" customHeight="true" outlineLevel="0" collapsed="false">
      <c r="B8" s="26" t="s">
        <v>77</v>
      </c>
    </row>
    <row r="9" customFormat="false" ht="15" hidden="false" customHeight="true" outlineLevel="0" collapsed="false">
      <c r="B9" s="26" t="s">
        <v>78</v>
      </c>
    </row>
    <row r="10" customFormat="false" ht="15" hidden="false" customHeight="true" outlineLevel="0" collapsed="false">
      <c r="B10" s="26"/>
    </row>
    <row r="11" customFormat="false" ht="15" hidden="false" customHeight="true" outlineLevel="0" collapsed="false">
      <c r="B11" s="27" t="s">
        <v>79</v>
      </c>
    </row>
    <row r="12" customFormat="false" ht="15" hidden="false" customHeight="true" outlineLevel="0" collapsed="false">
      <c r="B12" s="26" t="s">
        <v>80</v>
      </c>
    </row>
    <row r="13" customFormat="false" ht="15" hidden="false" customHeight="true" outlineLevel="0" collapsed="false">
      <c r="B13" s="26" t="s">
        <v>81</v>
      </c>
    </row>
    <row r="14" customFormat="false" ht="15" hidden="false" customHeight="true" outlineLevel="0" collapsed="false">
      <c r="B14" s="26" t="s">
        <v>82</v>
      </c>
    </row>
    <row r="15" customFormat="false" ht="15" hidden="false" customHeight="true" outlineLevel="0" collapsed="false">
      <c r="B15" s="26" t="s">
        <v>83</v>
      </c>
    </row>
    <row r="16" customFormat="false" ht="15" hidden="false" customHeight="true" outlineLevel="0" collapsed="false">
      <c r="B16" s="26"/>
    </row>
    <row r="17" customFormat="false" ht="15" hidden="false" customHeight="true" outlineLevel="0" collapsed="false">
      <c r="B17" s="27" t="s">
        <v>84</v>
      </c>
    </row>
    <row r="18" customFormat="false" ht="15" hidden="false" customHeight="true" outlineLevel="0" collapsed="false">
      <c r="B18" s="26" t="s">
        <v>85</v>
      </c>
    </row>
    <row r="19" customFormat="false" ht="15" hidden="false" customHeight="true" outlineLevel="0" collapsed="false">
      <c r="B19" s="26" t="s">
        <v>86</v>
      </c>
    </row>
    <row r="20" customFormat="false" ht="15" hidden="false" customHeight="true" outlineLevel="0" collapsed="false">
      <c r="B20" s="26" t="s">
        <v>87</v>
      </c>
    </row>
    <row r="21" customFormat="false" ht="15" hidden="false" customHeight="true" outlineLevel="0" collapsed="false">
      <c r="B21" s="26" t="s">
        <v>88</v>
      </c>
    </row>
    <row r="22" customFormat="false" ht="15" hidden="false" customHeight="true" outlineLevel="0" collapsed="false">
      <c r="B22" s="26" t="s">
        <v>89</v>
      </c>
    </row>
    <row r="23" customFormat="false" ht="15" hidden="false" customHeight="true" outlineLevel="0" collapsed="false">
      <c r="B23" s="26"/>
    </row>
    <row r="24" customFormat="false" ht="15" hidden="false" customHeight="true" outlineLevel="0" collapsed="false">
      <c r="B24" s="27" t="s">
        <v>90</v>
      </c>
    </row>
    <row r="25" customFormat="false" ht="15" hidden="false" customHeight="true" outlineLevel="0" collapsed="false">
      <c r="B25" s="26" t="s">
        <v>91</v>
      </c>
    </row>
    <row r="26" customFormat="false" ht="15" hidden="false" customHeight="true" outlineLevel="0" collapsed="false">
      <c r="B26" s="26" t="s">
        <v>92</v>
      </c>
    </row>
    <row r="27" customFormat="false" ht="15" hidden="false" customHeight="true" outlineLevel="0" collapsed="false">
      <c r="B27" s="26" t="s">
        <v>93</v>
      </c>
    </row>
    <row r="28" customFormat="false" ht="15" hidden="false" customHeight="true" outlineLevel="0" collapsed="false">
      <c r="B28" s="26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2026-08-28T10:00:51Z</dcterms:created>
  <dc:creator>openpyxl</dc:creator>
  <dc:description/>
  <dc:language>en-US</dc:language>
  <cp:lastModifiedBy/>
  <dcterms:modified xsi:type="dcterms:W3CDTF">2026-08-28T10:01:07Z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