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SX Trade Calculator" sheetId="1" state="visible" r:id="rId3"/>
    <sheet name="PSX Trade Log" sheetId="2" state="visible" r:id="rId4"/>
    <sheet name="PSX Fee Guid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<sst xmlns="http://schemas.openxmlformats.org/spreadsheetml/2006/main" count="134" uniqueCount="129">
  <si>
    <t xml:space="preserve">PSX DAY TRADING BUY / SELL CALCULATOR (Pakistan Stock Exchange)</t>
  </si>
  <si>
    <t xml:space="preserve">Yellow cells = inputs (blue text). All amounts in PKR. Brokerage default 0.15% (most common on PSX).</t>
  </si>
  <si>
    <t xml:space="preserve">TRADE INPUTS</t>
  </si>
  <si>
    <t xml:space="preserve">RISK / POSITION SIZING</t>
  </si>
  <si>
    <t xml:space="preserve">Ticker (e.g. OGDC, HBL)</t>
  </si>
  <si>
    <t xml:space="preserve">OGDC</t>
  </si>
  <si>
    <t xml:space="preserve">Account Size (PKR)</t>
  </si>
  <si>
    <t xml:space="preserve">Buy Price (PKR)</t>
  </si>
  <si>
    <t xml:space="preserve">Risk per Trade (%)</t>
  </si>
  <si>
    <t xml:space="preserve">Sell Price (PKR)</t>
  </si>
  <si>
    <t xml:space="preserve">Stop Loss Price (PKR)</t>
  </si>
  <si>
    <t xml:space="preserve">Number of Shares</t>
  </si>
  <si>
    <t xml:space="preserve">Brokerage Rate (%)</t>
  </si>
  <si>
    <t xml:space="preserve">Other Fees per side (PKR)</t>
  </si>
  <si>
    <t xml:space="preserve">Other Fees ≈ PSX + NCCPL + CDC + SECP (approx Rs 10–25 per side on small trades)</t>
  </si>
  <si>
    <t xml:space="preserve">FEE BREAKDOWN (Auto)</t>
  </si>
  <si>
    <t xml:space="preserve">TRADE RESULTS</t>
  </si>
  <si>
    <t xml:space="preserve">Buy Value (PKR)</t>
  </si>
  <si>
    <t xml:space="preserve">Gross P/L (before fees)</t>
  </si>
  <si>
    <t xml:space="preserve">Buy Brokerage</t>
  </si>
  <si>
    <t xml:space="preserve">Total Fees (both sides)</t>
  </si>
  <si>
    <t xml:space="preserve">Buy Other Fees</t>
  </si>
  <si>
    <t xml:space="preserve">Net Profit / Loss (PKR)</t>
  </si>
  <si>
    <t xml:space="preserve">Total Buy Cost</t>
  </si>
  <si>
    <t xml:space="preserve">Return % (on cost)</t>
  </si>
  <si>
    <t xml:space="preserve">Sell Value (PKR)</t>
  </si>
  <si>
    <t xml:space="preserve">Break-Even Sell Price</t>
  </si>
  <si>
    <t xml:space="preserve">Sell Brokerage</t>
  </si>
  <si>
    <t xml:space="preserve">Price Change (PKR)</t>
  </si>
  <si>
    <t xml:space="preserve">Sell Other Fees</t>
  </si>
  <si>
    <t xml:space="preserve">Price Change %</t>
  </si>
  <si>
    <t xml:space="preserve">Net Sell Proceeds</t>
  </si>
  <si>
    <t xml:space="preserve">POSITION SIZING RESULTS</t>
  </si>
  <si>
    <t xml:space="preserve">POPULAR PSX TICKERS (examples)</t>
  </si>
  <si>
    <t xml:space="preserve">Risk Amount (PKR)</t>
  </si>
  <si>
    <t xml:space="preserve">OGDC / PPL / POL</t>
  </si>
  <si>
    <t xml:space="preserve">Oil &amp; Gas</t>
  </si>
  <si>
    <t xml:space="preserve">Risk per Share (PKR)</t>
  </si>
  <si>
    <t xml:space="preserve">HBL / UBL / MCB / BAFL</t>
  </si>
  <si>
    <t xml:space="preserve">Banks</t>
  </si>
  <si>
    <t xml:space="preserve">Max Shares (by Risk)</t>
  </si>
  <si>
    <t xml:space="preserve">ENGRO / FFC / EFERT</t>
  </si>
  <si>
    <t xml:space="preserve">Fertilizer</t>
  </si>
  <si>
    <t xml:space="preserve">Suggested Position Value</t>
  </si>
  <si>
    <t xml:space="preserve">LUCK / MLCF / DGKC</t>
  </si>
  <si>
    <t xml:space="preserve">Cement</t>
  </si>
  <si>
    <t xml:space="preserve">Actual Risk (this trade)</t>
  </si>
  <si>
    <t xml:space="preserve">SYS / TRG / AVN</t>
  </si>
  <si>
    <t xml:space="preserve">Technology</t>
  </si>
  <si>
    <t xml:space="preserve">R-Multiple</t>
  </si>
  <si>
    <t xml:space="preserve">HUBC / KAPCO</t>
  </si>
  <si>
    <t xml:space="preserve">Power</t>
  </si>
  <si>
    <t xml:space="preserve">PSO / SHEL / APL</t>
  </si>
  <si>
    <t xml:space="preserve">Oil Marketing</t>
  </si>
  <si>
    <t xml:space="preserve">MARI / SNGP</t>
  </si>
  <si>
    <t xml:space="preserve">Gas / Exploration</t>
  </si>
  <si>
    <t xml:space="preserve">Note: Brokerage on PSX is typically 0.15%–0.25%. Minimum often Rs 0.03/share for low-priced stocks. Always confirm with your broker.</t>
  </si>
  <si>
    <t xml:space="preserve">PSX DAY TRADING LOG — Pakistan Stock Exchange</t>
  </si>
  <si>
    <t xml:space="preserve">Enter trades in yellow cells. Fees use the rate from Calculator sheet or override. P/L auto-calculates in PKR.</t>
  </si>
  <si>
    <t xml:space="preserve">#</t>
  </si>
  <si>
    <t xml:space="preserve">Date</t>
  </si>
  <si>
    <t xml:space="preserve">Ticker</t>
  </si>
  <si>
    <t xml:space="preserve">Buy Price</t>
  </si>
  <si>
    <t xml:space="preserve">Sell Price</t>
  </si>
  <si>
    <t xml:space="preserve">Shares</t>
  </si>
  <si>
    <t xml:space="preserve">Buy Fee</t>
  </si>
  <si>
    <t xml:space="preserve">Sell Fee</t>
  </si>
  <si>
    <t xml:space="preserve">Cost Basis</t>
  </si>
  <si>
    <t xml:space="preserve">Proceeds</t>
  </si>
  <si>
    <t xml:space="preserve">Net P/L</t>
  </si>
  <si>
    <t xml:space="preserve">P/L %</t>
  </si>
  <si>
    <t xml:space="preserve">Notes</t>
  </si>
  <si>
    <t xml:space="preserve">2026-08-20</t>
  </si>
  <si>
    <t xml:space="preserve">Morning long</t>
  </si>
  <si>
    <t xml:space="preserve">HBL</t>
  </si>
  <si>
    <t xml:space="preserve">Stopped</t>
  </si>
  <si>
    <t xml:space="preserve">2026-08-21</t>
  </si>
  <si>
    <t xml:space="preserve">LUCK</t>
  </si>
  <si>
    <t xml:space="preserve">Breakout</t>
  </si>
  <si>
    <t xml:space="preserve">SYS</t>
  </si>
  <si>
    <t xml:space="preserve">Tech bounce</t>
  </si>
  <si>
    <t xml:space="preserve">2026-08-22</t>
  </si>
  <si>
    <t xml:space="preserve">ENGRO</t>
  </si>
  <si>
    <t xml:space="preserve">Quick scalp</t>
  </si>
  <si>
    <t xml:space="preserve">PPL</t>
  </si>
  <si>
    <t xml:space="preserve">SESSION SUMMARY</t>
  </si>
  <si>
    <t xml:space="preserve">Total Trades</t>
  </si>
  <si>
    <t xml:space="preserve">Winning Trades</t>
  </si>
  <si>
    <t xml:space="preserve">Losing Trades</t>
  </si>
  <si>
    <t xml:space="preserve">Win Rate %</t>
  </si>
  <si>
    <t xml:space="preserve">Total Net P/L (PKR)</t>
  </si>
  <si>
    <t xml:space="preserve">Avg P/L per Trade</t>
  </si>
  <si>
    <t xml:space="preserve">Best Trade</t>
  </si>
  <si>
    <t xml:space="preserve">Worst Trade</t>
  </si>
  <si>
    <t xml:space="preserve">PSX TRADING FEES — QUICK GUIDE (2026)</t>
  </si>
  <si>
    <t xml:space="preserve">BROKERAGE COMMISSION (PSX rules)</t>
  </si>
  <si>
    <t xml:space="preserve">Share Price</t>
  </si>
  <si>
    <t xml:space="preserve">Minimum</t>
  </si>
  <si>
    <t xml:space="preserve">Maximum</t>
  </si>
  <si>
    <t xml:space="preserve">PKR 0.01 – 20</t>
  </si>
  <si>
    <t xml:space="preserve">Rs 0.03 per share</t>
  </si>
  <si>
    <t xml:space="preserve">2.5% of value</t>
  </si>
  <si>
    <t xml:space="preserve">PKR 20 and above</t>
  </si>
  <si>
    <t xml:space="preserve">0.15% of traded value</t>
  </si>
  <si>
    <t xml:space="preserve">Most retail brokers charge 0.15% – 0.25%. Some low-cost brokers stay at the 0.15% minimum.</t>
  </si>
  <si>
    <t xml:space="preserve">OTHER CHARGES (approximate, per side)</t>
  </si>
  <si>
    <t xml:space="preserve">Charge</t>
  </si>
  <si>
    <t xml:space="preserve">Typical Rate</t>
  </si>
  <si>
    <t xml:space="preserve">PSX Trading Fee</t>
  </si>
  <si>
    <t xml:space="preserve">Rs 3.50 per Rs 100,000 value</t>
  </si>
  <si>
    <t xml:space="preserve">PSX Regulatory Fee</t>
  </si>
  <si>
    <t xml:space="preserve">Rs 0.62 per Rs 100,000</t>
  </si>
  <si>
    <t xml:space="preserve">SECP Levy</t>
  </si>
  <si>
    <t xml:space="preserve">0.00065% of trade value</t>
  </si>
  <si>
    <t xml:space="preserve">NCCPL Trade Fee</t>
  </si>
  <si>
    <t xml:space="preserve">Rs 0.81 per Rs 100,000</t>
  </si>
  <si>
    <t xml:space="preserve">CDC Transaction Fee</t>
  </si>
  <si>
    <t xml:space="preserve">0.0036% (min Rs 5, max Rs 25,000)</t>
  </si>
  <si>
    <t xml:space="preserve">Sales Tax on Commission</t>
  </si>
  <si>
    <t xml:space="preserve">13% (Sindh) / varies by province</t>
  </si>
  <si>
    <t xml:space="preserve">On a Rs 100,000 trade at 0.15% brokerage, total round-trip cost is roughly Rs 350–450 (≈ 0.35–0.45%).</t>
  </si>
  <si>
    <t xml:space="preserve">HOW TO USE THIS CALCULATOR</t>
  </si>
  <si>
    <t xml:space="preserve">1. PSX Trade Calculator sheet: enter Ticker, Buy/Sell price, Shares, Brokerage %.</t>
  </si>
  <si>
    <t xml:space="preserve">2. Other Fees cell can be left at Rs 15 or adjusted (higher for large trades).</t>
  </si>
  <si>
    <t xml:space="preserve">3. Net P/L already deducts brokerage + other fees on both sides.</t>
  </si>
  <si>
    <t xml:space="preserve">4. Use Risk section before entering trade to decide position size.</t>
  </si>
  <si>
    <t xml:space="preserve">5. Log every trade in PSX Trade Log for win-rate and total P/L tracking.</t>
  </si>
  <si>
    <t xml:space="preserve">6. Always confirm exact fees with your broker (AKD, BSL, KTrade, Topline, etc.).</t>
  </si>
  <si>
    <t xml:space="preserve">Disclaimer: For personal tracking &amp; education only. Fees change; verify with your broker &amp; PSX notices. Trading involves risk of loss.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</si>
</sst>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₹#,##0"/>
    <numFmt numFmtId="166" formatCode="\₹#,##0.00"/>
    <numFmt numFmtId="167" formatCode="0.00%"/>
    <numFmt numFmtId="168" formatCode="#,##0"/>
    <numFmt numFmtId="169" formatCode="\₹#,##0.00;&quot;(₹&quot;#,##0.00\)"/>
    <numFmt numFmtId="170" formatCode="0.00\x"/>
    <numFmt numFmtId="171" formatCode="yyyy\-mm\-dd"/>
    <numFmt numFmtId="172" formatCode="0.00%;\(0.00%\)"/>
    <numFmt numFmtId="173" formatCode="0"/>
    <numFmt numFmtId="174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99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3F0"/>
        <bgColor rgb="FFE2EFDA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2F2F2"/>
      <rgbColor rgb="FFE2EFDA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8" min="8" style="0" width="16"/>
    <col collapsed="false" customWidth="true" hidden="false" outlineLevel="0" max="9" min="9" style="0" width="12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true" outlineLevel="0" collapsed="false">
      <c r="B3" s="2" t="s">
        <v>1</v>
      </c>
      <c r="C3" s="2"/>
      <c r="D3" s="2"/>
      <c r="E3" s="2"/>
      <c r="F3" s="2"/>
    </row>
    <row r="5" customFormat="false" ht="15" hidden="false" customHeight="true" outlineLevel="0" collapsed="false">
      <c r="B5" s="3" t="s">
        <v>2</v>
      </c>
      <c r="C5" s="3"/>
      <c r="E5" s="3" t="s">
        <v>3</v>
      </c>
      <c r="F5" s="3"/>
    </row>
    <row r="6" customFormat="false" ht="15" hidden="false" customHeight="false" outlineLevel="0" collapsed="false">
      <c r="B6" s="4" t="s">
        <v>4</v>
      </c>
      <c r="C6" s="5" t="s">
        <v>5</v>
      </c>
      <c r="E6" s="4" t="s">
        <v>6</v>
      </c>
      <c r="F6" s="6" t="n">
        <v>500000</v>
      </c>
    </row>
    <row r="7" customFormat="false" ht="15" hidden="false" customHeight="false" outlineLevel="0" collapsed="false">
      <c r="B7" s="4" t="s">
        <v>7</v>
      </c>
      <c r="C7" s="7" t="n">
        <v>180</v>
      </c>
      <c r="E7" s="4" t="s">
        <v>8</v>
      </c>
      <c r="F7" s="8" t="n">
        <v>0.01</v>
      </c>
    </row>
    <row r="8" customFormat="false" ht="15" hidden="false" customHeight="false" outlineLevel="0" collapsed="false">
      <c r="B8" s="4" t="s">
        <v>9</v>
      </c>
      <c r="C8" s="7" t="n">
        <v>185.5</v>
      </c>
      <c r="E8" s="4" t="s">
        <v>10</v>
      </c>
      <c r="F8" s="7" t="n">
        <v>175</v>
      </c>
    </row>
    <row r="9" customFormat="false" ht="15" hidden="false" customHeight="false" outlineLevel="0" collapsed="false">
      <c r="B9" s="4" t="s">
        <v>11</v>
      </c>
      <c r="C9" s="9" t="n">
        <v>500</v>
      </c>
    </row>
    <row r="10" customFormat="false" ht="15" hidden="false" customHeight="false" outlineLevel="0" collapsed="false">
      <c r="B10" s="4" t="s">
        <v>12</v>
      </c>
      <c r="C10" s="8" t="n">
        <v>0.0015</v>
      </c>
    </row>
    <row r="11" customFormat="false" ht="15" hidden="false" customHeight="false" outlineLevel="0" collapsed="false">
      <c r="B11" s="4" t="s">
        <v>13</v>
      </c>
      <c r="C11" s="7" t="n">
        <v>15</v>
      </c>
    </row>
    <row r="12" customFormat="false" ht="15" hidden="false" customHeight="false" outlineLevel="0" collapsed="false">
      <c r="B12" s="10" t="s">
        <v>14</v>
      </c>
      <c r="C12" s="10"/>
    </row>
    <row r="14" customFormat="false" ht="15" hidden="false" customHeight="true" outlineLevel="0" collapsed="false">
      <c r="B14" s="3" t="s">
        <v>15</v>
      </c>
      <c r="C14" s="3"/>
      <c r="E14" s="3" t="s">
        <v>16</v>
      </c>
      <c r="F14" s="3"/>
    </row>
    <row r="15" customFormat="false" ht="15" hidden="false" customHeight="false" outlineLevel="0" collapsed="false">
      <c r="B15" s="4" t="s">
        <v>17</v>
      </c>
      <c r="C15" s="11" t="n">
        <f aca="false">C7*C9</f>
        <v>90000</v>
      </c>
      <c r="E15" s="4" t="s">
        <v>18</v>
      </c>
      <c r="F15" s="11" t="n">
        <f aca="false">(C8-C7)*C9</f>
        <v>2750</v>
      </c>
    </row>
    <row r="16" customFormat="false" ht="15" hidden="false" customHeight="false" outlineLevel="0" collapsed="false">
      <c r="B16" s="4" t="s">
        <v>19</v>
      </c>
      <c r="C16" s="11" t="n">
        <f aca="false">C15*C10</f>
        <v>135</v>
      </c>
      <c r="E16" s="4" t="s">
        <v>20</v>
      </c>
      <c r="F16" s="11" t="n">
        <f aca="false">C16+C17+C20+C21</f>
        <v>304.125</v>
      </c>
    </row>
    <row r="17" customFormat="false" ht="15" hidden="false" customHeight="false" outlineLevel="0" collapsed="false">
      <c r="B17" s="4" t="s">
        <v>21</v>
      </c>
      <c r="C17" s="11" t="n">
        <f aca="false">C11</f>
        <v>15</v>
      </c>
      <c r="E17" s="4" t="s">
        <v>22</v>
      </c>
      <c r="F17" s="12" t="n">
        <f aca="false">C22-C18</f>
        <v>2445.875</v>
      </c>
    </row>
    <row r="18" customFormat="false" ht="15" hidden="false" customHeight="false" outlineLevel="0" collapsed="false">
      <c r="B18" s="4" t="s">
        <v>23</v>
      </c>
      <c r="C18" s="11" t="n">
        <f aca="false">C15+C16+C17</f>
        <v>90150</v>
      </c>
      <c r="E18" s="4" t="s">
        <v>24</v>
      </c>
      <c r="F18" s="13" t="n">
        <f aca="false">IF(C18=0,0,F17/C18)</f>
        <v>0.0271311702717693</v>
      </c>
    </row>
    <row r="19" customFormat="false" ht="15" hidden="false" customHeight="false" outlineLevel="0" collapsed="false">
      <c r="B19" s="4" t="s">
        <v>25</v>
      </c>
      <c r="C19" s="11" t="n">
        <f aca="false">C8*C9</f>
        <v>92750</v>
      </c>
      <c r="E19" s="4" t="s">
        <v>26</v>
      </c>
      <c r="F19" s="11" t="n">
        <f aca="false">IF(C9=0,0,C18/C9)</f>
        <v>180.3</v>
      </c>
    </row>
    <row r="20" customFormat="false" ht="15" hidden="false" customHeight="false" outlineLevel="0" collapsed="false">
      <c r="B20" s="4" t="s">
        <v>27</v>
      </c>
      <c r="C20" s="11" t="n">
        <f aca="false">C19*C10</f>
        <v>139.125</v>
      </c>
      <c r="E20" s="4" t="s">
        <v>28</v>
      </c>
      <c r="F20" s="11" t="n">
        <f aca="false">C8-C7</f>
        <v>5.5</v>
      </c>
    </row>
    <row r="21" customFormat="false" ht="15" hidden="false" customHeight="false" outlineLevel="0" collapsed="false">
      <c r="B21" s="4" t="s">
        <v>29</v>
      </c>
      <c r="C21" s="11" t="n">
        <f aca="false">C11</f>
        <v>15</v>
      </c>
      <c r="E21" s="4" t="s">
        <v>30</v>
      </c>
      <c r="F21" s="13" t="n">
        <f aca="false">IF(C7=0,0,(C8-C7)/C7)</f>
        <v>0.0305555555555556</v>
      </c>
    </row>
    <row r="22" customFormat="false" ht="15" hidden="false" customHeight="false" outlineLevel="0" collapsed="false">
      <c r="B22" s="4" t="s">
        <v>31</v>
      </c>
      <c r="C22" s="11" t="n">
        <f aca="false">C19-C20-C21</f>
        <v>92595.875</v>
      </c>
    </row>
    <row r="23" customFormat="false" ht="15" hidden="false" customHeight="true" outlineLevel="0" collapsed="false">
      <c r="E23" s="3" t="s">
        <v>32</v>
      </c>
      <c r="F23" s="3"/>
    </row>
    <row r="24" customFormat="false" ht="15" hidden="false" customHeight="true" outlineLevel="0" collapsed="false">
      <c r="B24" s="3" t="s">
        <v>33</v>
      </c>
      <c r="C24" s="3"/>
      <c r="E24" s="4" t="s">
        <v>34</v>
      </c>
      <c r="F24" s="11" t="n">
        <f aca="false">F6*F7</f>
        <v>5000</v>
      </c>
    </row>
    <row r="25" customFormat="false" ht="15" hidden="false" customHeight="false" outlineLevel="0" collapsed="false">
      <c r="B25" s="14" t="s">
        <v>35</v>
      </c>
      <c r="C25" s="15" t="s">
        <v>36</v>
      </c>
      <c r="E25" s="4" t="s">
        <v>37</v>
      </c>
      <c r="F25" s="11" t="n">
        <f aca="false">C7-F8</f>
        <v>5</v>
      </c>
    </row>
    <row r="26" customFormat="false" ht="15" hidden="false" customHeight="false" outlineLevel="0" collapsed="false">
      <c r="B26" s="16" t="s">
        <v>38</v>
      </c>
      <c r="C26" s="17" t="s">
        <v>39</v>
      </c>
      <c r="E26" s="4" t="s">
        <v>40</v>
      </c>
      <c r="F26" s="18" t="n">
        <f aca="false">IF(F25&lt;=0,0,INT(F24/F25))</f>
        <v>1000</v>
      </c>
    </row>
    <row r="27" customFormat="false" ht="15" hidden="false" customHeight="false" outlineLevel="0" collapsed="false">
      <c r="B27" s="14" t="s">
        <v>41</v>
      </c>
      <c r="C27" s="15" t="s">
        <v>42</v>
      </c>
      <c r="E27" s="4" t="s">
        <v>43</v>
      </c>
      <c r="F27" s="11" t="n">
        <f aca="false">F26*C7</f>
        <v>180000</v>
      </c>
    </row>
    <row r="28" customFormat="false" ht="15" hidden="false" customHeight="false" outlineLevel="0" collapsed="false">
      <c r="B28" s="16" t="s">
        <v>44</v>
      </c>
      <c r="C28" s="17" t="s">
        <v>45</v>
      </c>
      <c r="E28" s="4" t="s">
        <v>46</v>
      </c>
      <c r="F28" s="11" t="n">
        <f aca="false">IF(F25&lt;=0,0,C9*(C7-F8))</f>
        <v>2500</v>
      </c>
    </row>
    <row r="29" customFormat="false" ht="15" hidden="false" customHeight="false" outlineLevel="0" collapsed="false">
      <c r="B29" s="14" t="s">
        <v>47</v>
      </c>
      <c r="C29" s="15" t="s">
        <v>48</v>
      </c>
      <c r="E29" s="4" t="s">
        <v>49</v>
      </c>
      <c r="F29" s="19" t="n">
        <f aca="false">IF(F28=0,0,F17/F28)</f>
        <v>0.97835</v>
      </c>
    </row>
    <row r="30" customFormat="false" ht="15" hidden="false" customHeight="false" outlineLevel="0" collapsed="false">
      <c r="B30" s="16" t="s">
        <v>50</v>
      </c>
      <c r="C30" s="17" t="s">
        <v>51</v>
      </c>
    </row>
    <row r="31" customFormat="false" ht="15" hidden="false" customHeight="false" outlineLevel="0" collapsed="false">
      <c r="B31" s="14" t="s">
        <v>52</v>
      </c>
      <c r="C31" s="15" t="s">
        <v>53</v>
      </c>
    </row>
    <row r="32" customFormat="false" ht="15" hidden="false" customHeight="false" outlineLevel="0" collapsed="false">
      <c r="B32" s="16" t="s">
        <v>54</v>
      </c>
      <c r="C32" s="17" t="s">
        <v>55</v>
      </c>
    </row>
    <row r="34" customFormat="false" ht="15" hidden="false" customHeight="false" outlineLevel="0" collapsed="false">
      <c r="B34" s="10" t="s">
        <v>56</v>
      </c>
      <c r="C34" s="10"/>
      <c r="D34" s="10"/>
      <c r="E34" s="10"/>
      <c r="F34" s="10"/>
    </row>
  </sheetData>
  <mergeCells count="10">
    <mergeCell ref="B2:F2"/>
    <mergeCell ref="B3:F3"/>
    <mergeCell ref="B5:C5"/>
    <mergeCell ref="E5:F5"/>
    <mergeCell ref="B12:C12"/>
    <mergeCell ref="B14:C14"/>
    <mergeCell ref="E14:F14"/>
    <mergeCell ref="E23:F23"/>
    <mergeCell ref="B24:C24"/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5" min="4" style="0" width="11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6"/>
  </cols>
  <sheetData>
    <row r="2" customFormat="false" ht="25.5" hidden="false" customHeight="true" outlineLevel="0" collapsed="false">
      <c r="B2" s="1" t="s">
        <v>57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true" outlineLevel="0" collapsed="false">
      <c r="B3" s="2" t="s">
        <v>58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5" hidden="false" customHeight="false" outlineLevel="0" collapsed="false">
      <c r="A5" s="20" t="s">
        <v>59</v>
      </c>
      <c r="B5" s="20" t="s">
        <v>60</v>
      </c>
      <c r="C5" s="20" t="s">
        <v>61</v>
      </c>
      <c r="D5" s="20" t="s">
        <v>62</v>
      </c>
      <c r="E5" s="20" t="s">
        <v>63</v>
      </c>
      <c r="F5" s="20" t="s">
        <v>64</v>
      </c>
      <c r="G5" s="20" t="s">
        <v>65</v>
      </c>
      <c r="H5" s="20" t="s">
        <v>66</v>
      </c>
      <c r="I5" s="20" t="s">
        <v>67</v>
      </c>
      <c r="J5" s="20" t="s">
        <v>68</v>
      </c>
      <c r="K5" s="20" t="s">
        <v>69</v>
      </c>
      <c r="L5" s="20" t="s">
        <v>70</v>
      </c>
      <c r="M5" s="20" t="s">
        <v>71</v>
      </c>
    </row>
    <row r="6" customFormat="false" ht="15" hidden="false" customHeight="false" outlineLevel="0" collapsed="false">
      <c r="A6" s="21" t="n">
        <v>1</v>
      </c>
      <c r="B6" s="22" t="s">
        <v>72</v>
      </c>
      <c r="C6" s="5" t="s">
        <v>5</v>
      </c>
      <c r="D6" s="7" t="n">
        <v>178.5</v>
      </c>
      <c r="E6" s="7" t="n">
        <v>182</v>
      </c>
      <c r="F6" s="9" t="n">
        <v>1000</v>
      </c>
      <c r="G6" s="7" t="n">
        <v>270</v>
      </c>
      <c r="H6" s="7" t="n">
        <v>275</v>
      </c>
      <c r="I6" s="11" t="n">
        <f aca="false">IF(OR(D6="",F6=""),"",D6*F6+G6)</f>
        <v>178770</v>
      </c>
      <c r="J6" s="11" t="n">
        <f aca="false">IF(OR(E6="",F6=""),"",E6*F6-H6)</f>
        <v>181725</v>
      </c>
      <c r="K6" s="11" t="n">
        <f aca="false">IF(OR(I6="",J6=""),"",J6-I6)</f>
        <v>2955</v>
      </c>
      <c r="L6" s="23" t="n">
        <f aca="false">IF(OR(I6="",I6=0),"",K6/I6)</f>
        <v>0.0165296190636013</v>
      </c>
      <c r="M6" s="24" t="s">
        <v>73</v>
      </c>
    </row>
    <row r="7" customFormat="false" ht="15" hidden="false" customHeight="false" outlineLevel="0" collapsed="false">
      <c r="A7" s="21" t="n">
        <v>2</v>
      </c>
      <c r="B7" s="22" t="s">
        <v>72</v>
      </c>
      <c r="C7" s="5" t="s">
        <v>74</v>
      </c>
      <c r="D7" s="7" t="n">
        <v>145</v>
      </c>
      <c r="E7" s="7" t="n">
        <v>143.2</v>
      </c>
      <c r="F7" s="9" t="n">
        <v>500</v>
      </c>
      <c r="G7" s="7" t="n">
        <v>110</v>
      </c>
      <c r="H7" s="7" t="n">
        <v>108</v>
      </c>
      <c r="I7" s="11" t="n">
        <f aca="false">IF(OR(D7="",F7=""),"",D7*F7+G7)</f>
        <v>72610</v>
      </c>
      <c r="J7" s="11" t="n">
        <f aca="false">IF(OR(E7="",F7=""),"",E7*F7-H7)</f>
        <v>71492</v>
      </c>
      <c r="K7" s="11" t="n">
        <f aca="false">IF(OR(I7="",J7=""),"",J7-I7)</f>
        <v>-1118</v>
      </c>
      <c r="L7" s="23" t="n">
        <f aca="false">IF(OR(I7="",I7=0),"",K7/I7)</f>
        <v>-0.0153973281917091</v>
      </c>
      <c r="M7" s="24" t="s">
        <v>75</v>
      </c>
    </row>
    <row r="8" customFormat="false" ht="15" hidden="false" customHeight="false" outlineLevel="0" collapsed="false">
      <c r="A8" s="21" t="n">
        <v>3</v>
      </c>
      <c r="B8" s="22" t="s">
        <v>76</v>
      </c>
      <c r="C8" s="5" t="s">
        <v>77</v>
      </c>
      <c r="D8" s="7" t="n">
        <v>890</v>
      </c>
      <c r="E8" s="7" t="n">
        <v>905.5</v>
      </c>
      <c r="F8" s="9" t="n">
        <v>100</v>
      </c>
      <c r="G8" s="7" t="n">
        <v>135</v>
      </c>
      <c r="H8" s="7" t="n">
        <v>137</v>
      </c>
      <c r="I8" s="11" t="n">
        <f aca="false">IF(OR(D8="",F8=""),"",D8*F8+G8)</f>
        <v>89135</v>
      </c>
      <c r="J8" s="11" t="n">
        <f aca="false">IF(OR(E8="",F8=""),"",E8*F8-H8)</f>
        <v>90413</v>
      </c>
      <c r="K8" s="11" t="n">
        <f aca="false">IF(OR(I8="",J8=""),"",J8-I8)</f>
        <v>1278</v>
      </c>
      <c r="L8" s="23" t="n">
        <f aca="false">IF(OR(I8="",I8=0),"",K8/I8)</f>
        <v>0.0143378022101307</v>
      </c>
      <c r="M8" s="24" t="s">
        <v>78</v>
      </c>
    </row>
    <row r="9" customFormat="false" ht="15" hidden="false" customHeight="false" outlineLevel="0" collapsed="false">
      <c r="A9" s="21" t="n">
        <v>4</v>
      </c>
      <c r="B9" s="22" t="s">
        <v>76</v>
      </c>
      <c r="C9" s="5" t="s">
        <v>79</v>
      </c>
      <c r="D9" s="7" t="n">
        <v>42.5</v>
      </c>
      <c r="E9" s="7" t="n">
        <v>44.1</v>
      </c>
      <c r="F9" s="9" t="n">
        <v>2000</v>
      </c>
      <c r="G9" s="7" t="n">
        <v>130</v>
      </c>
      <c r="H9" s="7" t="n">
        <v>135</v>
      </c>
      <c r="I9" s="11" t="n">
        <f aca="false">IF(OR(D9="",F9=""),"",D9*F9+G9)</f>
        <v>85130</v>
      </c>
      <c r="J9" s="11" t="n">
        <f aca="false">IF(OR(E9="",F9=""),"",E9*F9-H9)</f>
        <v>88065</v>
      </c>
      <c r="K9" s="11" t="n">
        <f aca="false">IF(OR(I9="",J9=""),"",J9-I9)</f>
        <v>2935</v>
      </c>
      <c r="L9" s="23" t="n">
        <f aca="false">IF(OR(I9="",I9=0),"",K9/I9)</f>
        <v>0.0344766827205451</v>
      </c>
      <c r="M9" s="24" t="s">
        <v>80</v>
      </c>
    </row>
    <row r="10" customFormat="false" ht="15" hidden="false" customHeight="false" outlineLevel="0" collapsed="false">
      <c r="A10" s="21" t="n">
        <v>5</v>
      </c>
      <c r="B10" s="22" t="s">
        <v>81</v>
      </c>
      <c r="C10" s="5" t="s">
        <v>82</v>
      </c>
      <c r="D10" s="7" t="n">
        <v>320</v>
      </c>
      <c r="E10" s="7" t="n">
        <v>318</v>
      </c>
      <c r="F10" s="9" t="n">
        <v>300</v>
      </c>
      <c r="G10" s="7" t="n">
        <v>145</v>
      </c>
      <c r="H10" s="7" t="n">
        <v>144</v>
      </c>
      <c r="I10" s="11" t="n">
        <f aca="false">IF(OR(D10="",F10=""),"",D10*F10+G10)</f>
        <v>96145</v>
      </c>
      <c r="J10" s="11" t="n">
        <f aca="false">IF(OR(E10="",F10=""),"",E10*F10-H10)</f>
        <v>95256</v>
      </c>
      <c r="K10" s="11" t="n">
        <f aca="false">IF(OR(I10="",J10=""),"",J10-I10)</f>
        <v>-889</v>
      </c>
      <c r="L10" s="23" t="n">
        <f aca="false">IF(OR(I10="",I10=0),"",K10/I10)</f>
        <v>-0.00924645067346196</v>
      </c>
      <c r="M10" s="24" t="s">
        <v>83</v>
      </c>
    </row>
    <row r="11" customFormat="false" ht="15" hidden="false" customHeight="false" outlineLevel="0" collapsed="false">
      <c r="A11" s="21" t="n">
        <v>6</v>
      </c>
      <c r="B11" s="22" t="s">
        <v>81</v>
      </c>
      <c r="C11" s="5" t="s">
        <v>84</v>
      </c>
      <c r="D11" s="7" t="n">
        <v>165</v>
      </c>
      <c r="E11" s="7" t="n">
        <v>168.75</v>
      </c>
      <c r="F11" s="9" t="n">
        <v>800</v>
      </c>
      <c r="G11" s="7" t="n">
        <v>200</v>
      </c>
      <c r="H11" s="7" t="n">
        <v>205</v>
      </c>
      <c r="I11" s="11" t="n">
        <f aca="false">IF(OR(D11="",F11=""),"",D11*F11+G11)</f>
        <v>132200</v>
      </c>
      <c r="J11" s="11" t="n">
        <f aca="false">IF(OR(E11="",F11=""),"",E11*F11-H11)</f>
        <v>134795</v>
      </c>
      <c r="K11" s="11" t="n">
        <f aca="false">IF(OR(I11="",J11=""),"",J11-I11)</f>
        <v>2595</v>
      </c>
      <c r="L11" s="23" t="n">
        <f aca="false">IF(OR(I11="",I11=0),"",K11/I11)</f>
        <v>0.0196293494704992</v>
      </c>
      <c r="M11" s="24"/>
    </row>
    <row r="12" customFormat="false" ht="15" hidden="false" customHeight="false" outlineLevel="0" collapsed="false">
      <c r="A12" s="21" t="n">
        <v>7</v>
      </c>
      <c r="B12" s="22"/>
      <c r="C12" s="5"/>
      <c r="D12" s="7"/>
      <c r="E12" s="7"/>
      <c r="F12" s="9"/>
      <c r="G12" s="7"/>
      <c r="H12" s="7"/>
      <c r="I12" s="11" t="str">
        <f aca="false">IF(OR(D12="",F12=""),"",D12*F12+G12)</f>
        <v/>
      </c>
      <c r="J12" s="11" t="str">
        <f aca="false">IF(OR(E12="",F12=""),"",E12*F12-H12)</f>
        <v/>
      </c>
      <c r="K12" s="11" t="str">
        <f aca="false">IF(OR(I12="",J12=""),"",J12-I12)</f>
        <v/>
      </c>
      <c r="L12" s="23" t="str">
        <f aca="false">IF(OR(I12="",I12=0),"",K12/I12)</f>
        <v/>
      </c>
      <c r="M12" s="24"/>
    </row>
    <row r="13" customFormat="false" ht="15" hidden="false" customHeight="false" outlineLevel="0" collapsed="false">
      <c r="A13" s="21" t="n">
        <v>8</v>
      </c>
      <c r="B13" s="22"/>
      <c r="C13" s="5"/>
      <c r="D13" s="7"/>
      <c r="E13" s="7"/>
      <c r="F13" s="9"/>
      <c r="G13" s="7"/>
      <c r="H13" s="7"/>
      <c r="I13" s="11" t="str">
        <f aca="false">IF(OR(D13="",F13=""),"",D13*F13+G13)</f>
        <v/>
      </c>
      <c r="J13" s="11" t="str">
        <f aca="false">IF(OR(E13="",F13=""),"",E13*F13-H13)</f>
        <v/>
      </c>
      <c r="K13" s="11" t="str">
        <f aca="false">IF(OR(I13="",J13=""),"",J13-I13)</f>
        <v/>
      </c>
      <c r="L13" s="23" t="str">
        <f aca="false">IF(OR(I13="",I13=0),"",K13/I13)</f>
        <v/>
      </c>
      <c r="M13" s="24"/>
    </row>
    <row r="14" customFormat="false" ht="15" hidden="false" customHeight="false" outlineLevel="0" collapsed="false">
      <c r="A14" s="21" t="n">
        <v>9</v>
      </c>
      <c r="B14" s="22"/>
      <c r="C14" s="5"/>
      <c r="D14" s="7"/>
      <c r="E14" s="7"/>
      <c r="F14" s="9"/>
      <c r="G14" s="7"/>
      <c r="H14" s="7"/>
      <c r="I14" s="11" t="str">
        <f aca="false">IF(OR(D14="",F14=""),"",D14*F14+G14)</f>
        <v/>
      </c>
      <c r="J14" s="11" t="str">
        <f aca="false">IF(OR(E14="",F14=""),"",E14*F14-H14)</f>
        <v/>
      </c>
      <c r="K14" s="11" t="str">
        <f aca="false">IF(OR(I14="",J14=""),"",J14-I14)</f>
        <v/>
      </c>
      <c r="L14" s="23" t="str">
        <f aca="false">IF(OR(I14="",I14=0),"",K14/I14)</f>
        <v/>
      </c>
      <c r="M14" s="24"/>
    </row>
    <row r="15" customFormat="false" ht="15" hidden="false" customHeight="false" outlineLevel="0" collapsed="false">
      <c r="A15" s="21" t="n">
        <v>10</v>
      </c>
      <c r="B15" s="22"/>
      <c r="C15" s="5"/>
      <c r="D15" s="7"/>
      <c r="E15" s="7"/>
      <c r="F15" s="9"/>
      <c r="G15" s="7"/>
      <c r="H15" s="7"/>
      <c r="I15" s="11" t="str">
        <f aca="false">IF(OR(D15="",F15=""),"",D15*F15+G15)</f>
        <v/>
      </c>
      <c r="J15" s="11" t="str">
        <f aca="false">IF(OR(E15="",F15=""),"",E15*F15-H15)</f>
        <v/>
      </c>
      <c r="K15" s="11" t="str">
        <f aca="false">IF(OR(I15="",J15=""),"",J15-I15)</f>
        <v/>
      </c>
      <c r="L15" s="23" t="str">
        <f aca="false">IF(OR(I15="",I15=0),"",K15/I15)</f>
        <v/>
      </c>
      <c r="M15" s="24"/>
    </row>
    <row r="16" customFormat="false" ht="15" hidden="false" customHeight="false" outlineLevel="0" collapsed="false">
      <c r="A16" s="21" t="n">
        <v>11</v>
      </c>
      <c r="B16" s="22"/>
      <c r="C16" s="5"/>
      <c r="D16" s="7"/>
      <c r="E16" s="7"/>
      <c r="F16" s="9"/>
      <c r="G16" s="7"/>
      <c r="H16" s="7"/>
      <c r="I16" s="11" t="str">
        <f aca="false">IF(OR(D16="",F16=""),"",D16*F16+G16)</f>
        <v/>
      </c>
      <c r="J16" s="11" t="str">
        <f aca="false">IF(OR(E16="",F16=""),"",E16*F16-H16)</f>
        <v/>
      </c>
      <c r="K16" s="11" t="str">
        <f aca="false">IF(OR(I16="",J16=""),"",J16-I16)</f>
        <v/>
      </c>
      <c r="L16" s="23" t="str">
        <f aca="false">IF(OR(I16="",I16=0),"",K16/I16)</f>
        <v/>
      </c>
      <c r="M16" s="24"/>
    </row>
    <row r="17" customFormat="false" ht="15" hidden="false" customHeight="false" outlineLevel="0" collapsed="false">
      <c r="A17" s="21" t="n">
        <v>12</v>
      </c>
      <c r="B17" s="22"/>
      <c r="C17" s="5"/>
      <c r="D17" s="7"/>
      <c r="E17" s="7"/>
      <c r="F17" s="9"/>
      <c r="G17" s="7"/>
      <c r="H17" s="7"/>
      <c r="I17" s="11" t="str">
        <f aca="false">IF(OR(D17="",F17=""),"",D17*F17+G17)</f>
        <v/>
      </c>
      <c r="J17" s="11" t="str">
        <f aca="false">IF(OR(E17="",F17=""),"",E17*F17-H17)</f>
        <v/>
      </c>
      <c r="K17" s="11" t="str">
        <f aca="false">IF(OR(I17="",J17=""),"",J17-I17)</f>
        <v/>
      </c>
      <c r="L17" s="23" t="str">
        <f aca="false">IF(OR(I17="",I17=0),"",K17/I17)</f>
        <v/>
      </c>
      <c r="M17" s="24"/>
    </row>
    <row r="18" customFormat="false" ht="15" hidden="false" customHeight="false" outlineLevel="0" collapsed="false">
      <c r="A18" s="21" t="n">
        <v>13</v>
      </c>
      <c r="B18" s="22"/>
      <c r="C18" s="5"/>
      <c r="D18" s="7"/>
      <c r="E18" s="7"/>
      <c r="F18" s="9"/>
      <c r="G18" s="7"/>
      <c r="H18" s="7"/>
      <c r="I18" s="11" t="str">
        <f aca="false">IF(OR(D18="",F18=""),"",D18*F18+G18)</f>
        <v/>
      </c>
      <c r="J18" s="11" t="str">
        <f aca="false">IF(OR(E18="",F18=""),"",E18*F18-H18)</f>
        <v/>
      </c>
      <c r="K18" s="11" t="str">
        <f aca="false">IF(OR(I18="",J18=""),"",J18-I18)</f>
        <v/>
      </c>
      <c r="L18" s="23" t="str">
        <f aca="false">IF(OR(I18="",I18=0),"",K18/I18)</f>
        <v/>
      </c>
      <c r="M18" s="24"/>
    </row>
    <row r="19" customFormat="false" ht="15" hidden="false" customHeight="false" outlineLevel="0" collapsed="false">
      <c r="A19" s="21" t="n">
        <v>14</v>
      </c>
      <c r="B19" s="22"/>
      <c r="C19" s="5"/>
      <c r="D19" s="7"/>
      <c r="E19" s="7"/>
      <c r="F19" s="9"/>
      <c r="G19" s="7"/>
      <c r="H19" s="7"/>
      <c r="I19" s="11" t="str">
        <f aca="false">IF(OR(D19="",F19=""),"",D19*F19+G19)</f>
        <v/>
      </c>
      <c r="J19" s="11" t="str">
        <f aca="false">IF(OR(E19="",F19=""),"",E19*F19-H19)</f>
        <v/>
      </c>
      <c r="K19" s="11" t="str">
        <f aca="false">IF(OR(I19="",J19=""),"",J19-I19)</f>
        <v/>
      </c>
      <c r="L19" s="23" t="str">
        <f aca="false">IF(OR(I19="",I19=0),"",K19/I19)</f>
        <v/>
      </c>
      <c r="M19" s="24"/>
    </row>
    <row r="20" customFormat="false" ht="15" hidden="false" customHeight="false" outlineLevel="0" collapsed="false">
      <c r="A20" s="21" t="n">
        <v>15</v>
      </c>
      <c r="B20" s="22"/>
      <c r="C20" s="5"/>
      <c r="D20" s="7"/>
      <c r="E20" s="7"/>
      <c r="F20" s="9"/>
      <c r="G20" s="7"/>
      <c r="H20" s="7"/>
      <c r="I20" s="11" t="str">
        <f aca="false">IF(OR(D20="",F20=""),"",D20*F20+G20)</f>
        <v/>
      </c>
      <c r="J20" s="11" t="str">
        <f aca="false">IF(OR(E20="",F20=""),"",E20*F20-H20)</f>
        <v/>
      </c>
      <c r="K20" s="11" t="str">
        <f aca="false">IF(OR(I20="",J20=""),"",J20-I20)</f>
        <v/>
      </c>
      <c r="L20" s="23" t="str">
        <f aca="false">IF(OR(I20="",I20=0),"",K20/I20)</f>
        <v/>
      </c>
      <c r="M20" s="24"/>
    </row>
    <row r="21" customFormat="false" ht="15" hidden="false" customHeight="false" outlineLevel="0" collapsed="false">
      <c r="A21" s="21" t="n">
        <v>16</v>
      </c>
      <c r="B21" s="22"/>
      <c r="C21" s="5"/>
      <c r="D21" s="7"/>
      <c r="E21" s="7"/>
      <c r="F21" s="9"/>
      <c r="G21" s="7"/>
      <c r="H21" s="7"/>
      <c r="I21" s="11" t="str">
        <f aca="false">IF(OR(D21="",F21=""),"",D21*F21+G21)</f>
        <v/>
      </c>
      <c r="J21" s="11" t="str">
        <f aca="false">IF(OR(E21="",F21=""),"",E21*F21-H21)</f>
        <v/>
      </c>
      <c r="K21" s="11" t="str">
        <f aca="false">IF(OR(I21="",J21=""),"",J21-I21)</f>
        <v/>
      </c>
      <c r="L21" s="23" t="str">
        <f aca="false">IF(OR(I21="",I21=0),"",K21/I21)</f>
        <v/>
      </c>
      <c r="M21" s="24"/>
    </row>
    <row r="22" customFormat="false" ht="15" hidden="false" customHeight="false" outlineLevel="0" collapsed="false">
      <c r="A22" s="21" t="n">
        <v>17</v>
      </c>
      <c r="B22" s="22"/>
      <c r="C22" s="5"/>
      <c r="D22" s="7"/>
      <c r="E22" s="7"/>
      <c r="F22" s="9"/>
      <c r="G22" s="7"/>
      <c r="H22" s="7"/>
      <c r="I22" s="11" t="str">
        <f aca="false">IF(OR(D22="",F22=""),"",D22*F22+G22)</f>
        <v/>
      </c>
      <c r="J22" s="11" t="str">
        <f aca="false">IF(OR(E22="",F22=""),"",E22*F22-H22)</f>
        <v/>
      </c>
      <c r="K22" s="11" t="str">
        <f aca="false">IF(OR(I22="",J22=""),"",J22-I22)</f>
        <v/>
      </c>
      <c r="L22" s="23" t="str">
        <f aca="false">IF(OR(I22="",I22=0),"",K22/I22)</f>
        <v/>
      </c>
      <c r="M22" s="24"/>
    </row>
    <row r="23" customFormat="false" ht="15" hidden="false" customHeight="false" outlineLevel="0" collapsed="false">
      <c r="A23" s="21" t="n">
        <v>18</v>
      </c>
      <c r="B23" s="22"/>
      <c r="C23" s="5"/>
      <c r="D23" s="7"/>
      <c r="E23" s="7"/>
      <c r="F23" s="9"/>
      <c r="G23" s="7"/>
      <c r="H23" s="7"/>
      <c r="I23" s="11" t="str">
        <f aca="false">IF(OR(D23="",F23=""),"",D23*F23+G23)</f>
        <v/>
      </c>
      <c r="J23" s="11" t="str">
        <f aca="false">IF(OR(E23="",F23=""),"",E23*F23-H23)</f>
        <v/>
      </c>
      <c r="K23" s="11" t="str">
        <f aca="false">IF(OR(I23="",J23=""),"",J23-I23)</f>
        <v/>
      </c>
      <c r="L23" s="23" t="str">
        <f aca="false">IF(OR(I23="",I23=0),"",K23/I23)</f>
        <v/>
      </c>
      <c r="M23" s="24"/>
    </row>
    <row r="24" customFormat="false" ht="15" hidden="false" customHeight="false" outlineLevel="0" collapsed="false">
      <c r="A24" s="21" t="n">
        <v>19</v>
      </c>
      <c r="B24" s="22"/>
      <c r="C24" s="5"/>
      <c r="D24" s="7"/>
      <c r="E24" s="7"/>
      <c r="F24" s="9"/>
      <c r="G24" s="7"/>
      <c r="H24" s="7"/>
      <c r="I24" s="11" t="str">
        <f aca="false">IF(OR(D24="",F24=""),"",D24*F24+G24)</f>
        <v/>
      </c>
      <c r="J24" s="11" t="str">
        <f aca="false">IF(OR(E24="",F24=""),"",E24*F24-H24)</f>
        <v/>
      </c>
      <c r="K24" s="11" t="str">
        <f aca="false">IF(OR(I24="",J24=""),"",J24-I24)</f>
        <v/>
      </c>
      <c r="L24" s="23" t="str">
        <f aca="false">IF(OR(I24="",I24=0),"",K24/I24)</f>
        <v/>
      </c>
      <c r="M24" s="24"/>
    </row>
    <row r="25" customFormat="false" ht="15" hidden="false" customHeight="false" outlineLevel="0" collapsed="false">
      <c r="A25" s="21" t="n">
        <v>20</v>
      </c>
      <c r="B25" s="22"/>
      <c r="C25" s="5"/>
      <c r="D25" s="7"/>
      <c r="E25" s="7"/>
      <c r="F25" s="9"/>
      <c r="G25" s="7"/>
      <c r="H25" s="7"/>
      <c r="I25" s="11" t="str">
        <f aca="false">IF(OR(D25="",F25=""),"",D25*F25+G25)</f>
        <v/>
      </c>
      <c r="J25" s="11" t="str">
        <f aca="false">IF(OR(E25="",F25=""),"",E25*F25-H25)</f>
        <v/>
      </c>
      <c r="K25" s="11" t="str">
        <f aca="false">IF(OR(I25="",J25=""),"",J25-I25)</f>
        <v/>
      </c>
      <c r="L25" s="23" t="str">
        <f aca="false">IF(OR(I25="",I25=0),"",K25/I25)</f>
        <v/>
      </c>
      <c r="M25" s="24"/>
    </row>
    <row r="27" customFormat="false" ht="15" hidden="false" customHeight="true" outlineLevel="0" collapsed="false">
      <c r="B27" s="3" t="s">
        <v>85</v>
      </c>
      <c r="C27" s="3"/>
      <c r="D27" s="3"/>
    </row>
    <row r="28" customFormat="false" ht="15" hidden="false" customHeight="false" outlineLevel="0" collapsed="false">
      <c r="B28" s="4" t="s">
        <v>86</v>
      </c>
      <c r="C28" s="25" t="n">
        <f aca="false">COUNTA(C6:C25)</f>
        <v>6</v>
      </c>
    </row>
    <row r="29" customFormat="false" ht="15" hidden="false" customHeight="false" outlineLevel="0" collapsed="false">
      <c r="B29" s="4" t="s">
        <v>87</v>
      </c>
      <c r="C29" s="25" t="n">
        <f aca="false">COUNTIF(K6:K25,"&gt;0")</f>
        <v>4</v>
      </c>
    </row>
    <row r="30" customFormat="false" ht="15" hidden="false" customHeight="false" outlineLevel="0" collapsed="false">
      <c r="B30" s="4" t="s">
        <v>88</v>
      </c>
      <c r="C30" s="25" t="n">
        <f aca="false">COUNTIF(K6:K25,"&lt;0")</f>
        <v>2</v>
      </c>
    </row>
    <row r="31" customFormat="false" ht="15" hidden="false" customHeight="false" outlineLevel="0" collapsed="false">
      <c r="B31" s="4" t="s">
        <v>89</v>
      </c>
      <c r="C31" s="26" t="n">
        <f aca="false">IF(C28=0,0,C29/C28)</f>
        <v>0.666666666666667</v>
      </c>
    </row>
    <row r="32" customFormat="false" ht="15" hidden="false" customHeight="false" outlineLevel="0" collapsed="false">
      <c r="B32" s="4" t="s">
        <v>90</v>
      </c>
      <c r="C32" s="12" t="n">
        <f aca="false">SUM(K6:K25)</f>
        <v>7756</v>
      </c>
    </row>
    <row r="33" customFormat="false" ht="15" hidden="false" customHeight="false" outlineLevel="0" collapsed="false">
      <c r="B33" s="4" t="s">
        <v>91</v>
      </c>
      <c r="C33" s="11" t="n">
        <f aca="false">IF(C28=0,0,C32/C28)</f>
        <v>1292.66666666667</v>
      </c>
    </row>
    <row r="34" customFormat="false" ht="15" hidden="false" customHeight="false" outlineLevel="0" collapsed="false">
      <c r="B34" s="4" t="s">
        <v>92</v>
      </c>
      <c r="C34" s="11" t="n">
        <f aca="false">IF(COUNT(K6:K25)=0,0,MAX(K6:K25))</f>
        <v>2955</v>
      </c>
    </row>
    <row r="35" customFormat="false" ht="15" hidden="false" customHeight="false" outlineLevel="0" collapsed="false">
      <c r="B35" s="4" t="s">
        <v>93</v>
      </c>
      <c r="C35" s="11" t="n">
        <f aca="false">IF(COUNT(K6:K25)=0,0,MIN(K6:K25))</f>
        <v>-1118</v>
      </c>
    </row>
  </sheetData>
  <mergeCells count="3">
    <mergeCell ref="B2:M2"/>
    <mergeCell ref="B3:M3"/>
    <mergeCell ref="B27:D27"/>
  </mergeCells>
  <conditionalFormatting sqref="K6:K25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L6:L25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45"/>
    <col collapsed="false" customWidth="true" hidden="false" outlineLevel="0" max="4" min="4" style="0" width="18"/>
  </cols>
  <sheetData>
    <row r="2" customFormat="false" ht="25.5" hidden="false" customHeight="true" outlineLevel="0" collapsed="false">
      <c r="B2" s="1" t="s">
        <v>94</v>
      </c>
      <c r="C2" s="1"/>
      <c r="D2" s="1"/>
    </row>
    <row r="4" customFormat="false" ht="15" hidden="false" customHeight="false" outlineLevel="0" collapsed="false">
      <c r="B4" s="27" t="s">
        <v>95</v>
      </c>
      <c r="C4" s="27"/>
      <c r="D4" s="27"/>
    </row>
    <row r="5" customFormat="false" ht="15" hidden="false" customHeight="false" outlineLevel="0" collapsed="false">
      <c r="B5" s="28" t="s">
        <v>96</v>
      </c>
      <c r="C5" s="28" t="s">
        <v>97</v>
      </c>
      <c r="D5" s="28" t="s">
        <v>98</v>
      </c>
    </row>
    <row r="6" customFormat="false" ht="15" hidden="false" customHeight="false" outlineLevel="0" collapsed="false">
      <c r="B6" s="29" t="s">
        <v>99</v>
      </c>
      <c r="C6" s="29" t="s">
        <v>100</v>
      </c>
      <c r="D6" s="29" t="s">
        <v>101</v>
      </c>
    </row>
    <row r="7" customFormat="false" ht="15" hidden="false" customHeight="false" outlineLevel="0" collapsed="false">
      <c r="B7" s="29" t="s">
        <v>102</v>
      </c>
      <c r="C7" s="29" t="s">
        <v>103</v>
      </c>
      <c r="D7" s="29" t="s">
        <v>101</v>
      </c>
    </row>
    <row r="9" customFormat="false" ht="15" hidden="false" customHeight="false" outlineLevel="0" collapsed="false">
      <c r="B9" s="10" t="s">
        <v>104</v>
      </c>
      <c r="C9" s="10"/>
      <c r="D9" s="10"/>
    </row>
    <row r="11" customFormat="false" ht="15" hidden="false" customHeight="false" outlineLevel="0" collapsed="false">
      <c r="B11" s="27" t="s">
        <v>105</v>
      </c>
      <c r="C11" s="27"/>
      <c r="D11" s="27"/>
    </row>
    <row r="12" customFormat="false" ht="15" hidden="false" customHeight="false" outlineLevel="0" collapsed="false">
      <c r="B12" s="30" t="s">
        <v>106</v>
      </c>
      <c r="C12" s="30" t="s">
        <v>107</v>
      </c>
    </row>
    <row r="13" customFormat="false" ht="15" hidden="false" customHeight="false" outlineLevel="0" collapsed="false">
      <c r="B13" s="14" t="s">
        <v>108</v>
      </c>
      <c r="C13" s="14" t="s">
        <v>109</v>
      </c>
    </row>
    <row r="14" customFormat="false" ht="15" hidden="false" customHeight="false" outlineLevel="0" collapsed="false">
      <c r="B14" s="16" t="s">
        <v>110</v>
      </c>
      <c r="C14" s="16" t="s">
        <v>111</v>
      </c>
    </row>
    <row r="15" customFormat="false" ht="15" hidden="false" customHeight="false" outlineLevel="0" collapsed="false">
      <c r="B15" s="14" t="s">
        <v>112</v>
      </c>
      <c r="C15" s="14" t="s">
        <v>113</v>
      </c>
    </row>
    <row r="16" customFormat="false" ht="15" hidden="false" customHeight="false" outlineLevel="0" collapsed="false">
      <c r="B16" s="16" t="s">
        <v>114</v>
      </c>
      <c r="C16" s="16" t="s">
        <v>115</v>
      </c>
    </row>
    <row r="17" customFormat="false" ht="15" hidden="false" customHeight="false" outlineLevel="0" collapsed="false">
      <c r="B17" s="14" t="s">
        <v>116</v>
      </c>
      <c r="C17" s="14" t="s">
        <v>117</v>
      </c>
    </row>
    <row r="18" customFormat="false" ht="15" hidden="false" customHeight="false" outlineLevel="0" collapsed="false">
      <c r="B18" s="16" t="s">
        <v>118</v>
      </c>
      <c r="C18" s="16" t="s">
        <v>119</v>
      </c>
    </row>
    <row r="20" customFormat="false" ht="15" hidden="false" customHeight="false" outlineLevel="0" collapsed="false">
      <c r="B20" s="31" t="s">
        <v>120</v>
      </c>
      <c r="C20" s="31"/>
      <c r="D20" s="31"/>
    </row>
    <row r="22" customFormat="false" ht="15" hidden="false" customHeight="false" outlineLevel="0" collapsed="false">
      <c r="B22" s="27" t="s">
        <v>121</v>
      </c>
      <c r="C22" s="27"/>
      <c r="D22" s="27"/>
    </row>
    <row r="23" customFormat="false" ht="15" hidden="false" customHeight="false" outlineLevel="0" collapsed="false">
      <c r="B23" s="32" t="s">
        <v>122</v>
      </c>
      <c r="C23" s="32"/>
      <c r="D23" s="32"/>
    </row>
    <row r="24" customFormat="false" ht="15" hidden="false" customHeight="false" outlineLevel="0" collapsed="false">
      <c r="B24" s="32" t="s">
        <v>123</v>
      </c>
      <c r="C24" s="32"/>
      <c r="D24" s="32"/>
    </row>
    <row r="25" customFormat="false" ht="15" hidden="false" customHeight="false" outlineLevel="0" collapsed="false">
      <c r="B25" s="32" t="s">
        <v>124</v>
      </c>
      <c r="C25" s="32"/>
      <c r="D25" s="32"/>
    </row>
    <row r="26" customFormat="false" ht="15" hidden="false" customHeight="false" outlineLevel="0" collapsed="false">
      <c r="B26" s="32" t="s">
        <v>125</v>
      </c>
      <c r="C26" s="32"/>
      <c r="D26" s="32"/>
    </row>
    <row r="27" customFormat="false" ht="15" hidden="false" customHeight="false" outlineLevel="0" collapsed="false">
      <c r="B27" s="32" t="s">
        <v>126</v>
      </c>
      <c r="C27" s="32"/>
      <c r="D27" s="32"/>
    </row>
    <row r="28" customFormat="false" ht="15" hidden="false" customHeight="false" outlineLevel="0" collapsed="false">
      <c r="B28" s="32" t="s">
        <v>127</v>
      </c>
      <c r="C28" s="32"/>
      <c r="D28" s="32"/>
    </row>
    <row r="30" customFormat="false" ht="15" hidden="false" customHeight="false" outlineLevel="0" collapsed="false">
      <c r="B30" s="33" t="s">
        <v>128</v>
      </c>
      <c r="C30" s="33"/>
      <c r="D30" s="33"/>
    </row>
  </sheetData>
  <mergeCells count="13">
    <mergeCell ref="B2:D2"/>
    <mergeCell ref="B4:D4"/>
    <mergeCell ref="B9:D9"/>
    <mergeCell ref="B11:D11"/>
    <mergeCell ref="B20:D20"/>
    <mergeCell ref="B22:D22"/>
    <mergeCell ref="B23:D23"/>
    <mergeCell ref="B24:D24"/>
    <mergeCell ref="B25:D25"/>
    <mergeCell ref="B26:D26"/>
    <mergeCell ref="B27:D27"/>
    <mergeCell ref="B28:D28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2026-08-28T10:08:55Z</dcterms:created>
  <dc:creator>openpyxl</dc:creator>
  <dc:description/>
  <dc:language>en-US</dc:language>
  <cp:lastModifiedBy/>
  <dcterms:modified xsi:type="dcterms:W3CDTF">2026-08-28T10:08:55Z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