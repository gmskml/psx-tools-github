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ngle Option" sheetId="1" state="visible" r:id="rId3"/>
    <sheet name="Vertical Spread" sheetId="2" state="visible" r:id="rId4"/>
    <sheet name="Quick Referenc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<sst xmlns="http://schemas.openxmlformats.org/spreadsheetml/2006/main" count="122" uniqueCount="102">
  <si>
    <t xml:space="preserve">OPTIONS TRADING CALCULATOR — SINGLE OPTION</t>
  </si>
  <si>
    <t xml:space="preserve">Yellow cells = inputs (blue text). Green cells = calculated results. 1 contract = 100 shares.</t>
  </si>
  <si>
    <t xml:space="preserve">OPTION DETAILS</t>
  </si>
  <si>
    <t xml:space="preserve">COST &amp; MULTIPLIER</t>
  </si>
  <si>
    <t xml:space="preserve">Underlying Price (S)</t>
  </si>
  <si>
    <t xml:space="preserve">Multiplier (shares)</t>
  </si>
  <si>
    <t xml:space="preserve">Strike Price (K)</t>
  </si>
  <si>
    <t xml:space="preserve">Total Premium Paid/Received</t>
  </si>
  <si>
    <t xml:space="preserve">Premium per Share ($)</t>
  </si>
  <si>
    <t xml:space="preserve">Direction Sign</t>
  </si>
  <si>
    <t xml:space="preserve">Number of Contracts</t>
  </si>
  <si>
    <t xml:space="preserve">Is Call?</t>
  </si>
  <si>
    <t xml:space="preserve">Option Type (C/P)</t>
  </si>
  <si>
    <t xml:space="preserve">C</t>
  </si>
  <si>
    <t xml:space="preserve">Position (Long/Short)</t>
  </si>
  <si>
    <t xml:space="preserve">Long</t>
  </si>
  <si>
    <t xml:space="preserve">Days to Expiration</t>
  </si>
  <si>
    <t xml:space="preserve">Type: C = Call, P = Put    |    Position: Long or Short</t>
  </si>
  <si>
    <t xml:space="preserve">P&amp;L AT EXPIRATION</t>
  </si>
  <si>
    <t xml:space="preserve">KEY LEVELS</t>
  </si>
  <si>
    <t xml:space="preserve">Assumed Final Underlying</t>
  </si>
  <si>
    <t xml:space="preserve">Break-Even Price</t>
  </si>
  <si>
    <t xml:space="preserve">Intrinsic Value (per share)</t>
  </si>
  <si>
    <t xml:space="preserve">Max Profit ($)</t>
  </si>
  <si>
    <t xml:space="preserve">P&amp;L per Share</t>
  </si>
  <si>
    <t xml:space="preserve">Max Loss ($)</t>
  </si>
  <si>
    <t xml:space="preserve">Total P&amp;L ($)</t>
  </si>
  <si>
    <t xml:space="preserve">Moneyness</t>
  </si>
  <si>
    <t xml:space="preserve">P&amp;L as % of Capital at Risk</t>
  </si>
  <si>
    <t xml:space="preserve">Intrinsic (current)</t>
  </si>
  <si>
    <t xml:space="preserve">Extrinsic / Time Value</t>
  </si>
  <si>
    <t xml:space="preserve">PAYOFF TABLE (P&amp;L at different underlying prices at expiration)</t>
  </si>
  <si>
    <t xml:space="preserve">Underlying</t>
  </si>
  <si>
    <t xml:space="preserve">Intrinsic</t>
  </si>
  <si>
    <t xml:space="preserve">P&amp;L / Share</t>
  </si>
  <si>
    <t xml:space="preserve">Total P&amp;L $</t>
  </si>
  <si>
    <t xml:space="preserve">Tip: Change Underlying Price, Strike, Premium, Type, Position, and Contracts. Payoff table &amp; key levels update automatically.</t>
  </si>
  <si>
    <t xml:space="preserve">VERTICAL SPREAD CALCULATOR (Call or Put Debit / Credit Spreads)</t>
  </si>
  <si>
    <t xml:space="preserve">Long leg = buy, Short leg = sell. Works for Bull Call, Bear Call, Bull Put, Bear Put spreads.</t>
  </si>
  <si>
    <t xml:space="preserve">SPREAD INPUTS</t>
  </si>
  <si>
    <t xml:space="preserve">NET &amp; DIRECTION</t>
  </si>
  <si>
    <t xml:space="preserve">Underlying Price</t>
  </si>
  <si>
    <t xml:space="preserve">Net Debit / (Credit) per share</t>
  </si>
  <si>
    <t xml:space="preserve">Net Debit / (Credit) Total $</t>
  </si>
  <si>
    <t xml:space="preserve">Long Strike</t>
  </si>
  <si>
    <t xml:space="preserve">Spread Width (points)</t>
  </si>
  <si>
    <t xml:space="preserve">Long Premium (paid)</t>
  </si>
  <si>
    <t xml:space="preserve">Is Call Spread?</t>
  </si>
  <si>
    <t xml:space="preserve">Short Strike</t>
  </si>
  <si>
    <t xml:space="preserve">Short Premium (received)</t>
  </si>
  <si>
    <t xml:space="preserve">Contracts</t>
  </si>
  <si>
    <t xml:space="preserve">Multiplier</t>
  </si>
  <si>
    <t xml:space="preserve">MAX PROFIT / LOSS &amp; BREAKEVEN</t>
  </si>
  <si>
    <t xml:space="preserve">DETECTED STRATEGY</t>
  </si>
  <si>
    <t xml:space="preserve">Strategy Type</t>
  </si>
  <si>
    <t xml:space="preserve">Bias</t>
  </si>
  <si>
    <t xml:space="preserve">Break-Even</t>
  </si>
  <si>
    <t xml:space="preserve">Risk / Reward Ratio</t>
  </si>
  <si>
    <t xml:space="preserve">Max Profit %</t>
  </si>
  <si>
    <t xml:space="preserve">PAYOFF AT EXPIRATION</t>
  </si>
  <si>
    <t xml:space="preserve">Long Intrinsic</t>
  </si>
  <si>
    <t xml:space="preserve">Short Intrinsic</t>
  </si>
  <si>
    <t xml:space="preserve">Net Intrinsic</t>
  </si>
  <si>
    <t xml:space="preserve">Example: Bull Call Debit = Buy lower strike call, Sell higher strike call. Net debit = Long prem − Short prem.</t>
  </si>
  <si>
    <t xml:space="preserve">OPTIONS QUICK REFERENCE</t>
  </si>
  <si>
    <t xml:space="preserve">SINGLE OPTION SUMMARY</t>
  </si>
  <si>
    <t xml:space="preserve">Position</t>
  </si>
  <si>
    <t xml:space="preserve">Max Profit</t>
  </si>
  <si>
    <t xml:space="preserve">Max Loss</t>
  </si>
  <si>
    <t xml:space="preserve">Long Call</t>
  </si>
  <si>
    <t xml:space="preserve">Unlimited</t>
  </si>
  <si>
    <t xml:space="preserve">Premium paid</t>
  </si>
  <si>
    <t xml:space="preserve">Strike + Premium</t>
  </si>
  <si>
    <t xml:space="preserve">Short Call</t>
  </si>
  <si>
    <t xml:space="preserve">Premium received</t>
  </si>
  <si>
    <t xml:space="preserve">Long Put</t>
  </si>
  <si>
    <t xml:space="preserve">Strike − Premium</t>
  </si>
  <si>
    <t xml:space="preserve">Short Put</t>
  </si>
  <si>
    <t xml:space="preserve">VERTICAL SPREAD SUMMARY</t>
  </si>
  <si>
    <t xml:space="preserve">Strategy</t>
  </si>
  <si>
    <t xml:space="preserve">Construction</t>
  </si>
  <si>
    <t xml:space="preserve">Bull Call Debit</t>
  </si>
  <si>
    <t xml:space="preserve">Buy lower K call, Sell higher K call</t>
  </si>
  <si>
    <t xml:space="preserve">Width − Debit</t>
  </si>
  <si>
    <t xml:space="preserve">Net Debit</t>
  </si>
  <si>
    <t xml:space="preserve">Bear Call Credit</t>
  </si>
  <si>
    <t xml:space="preserve">Sell lower K call, Buy higher K call</t>
  </si>
  <si>
    <t xml:space="preserve">Net Credit</t>
  </si>
  <si>
    <t xml:space="preserve">Width − Credit</t>
  </si>
  <si>
    <t xml:space="preserve">Bull Put Credit</t>
  </si>
  <si>
    <t xml:space="preserve">Sell higher K put, Buy lower K put</t>
  </si>
  <si>
    <t xml:space="preserve">Bear Put Debit</t>
  </si>
  <si>
    <t xml:space="preserve">Buy higher K put, Sell lower K put</t>
  </si>
  <si>
    <t xml:space="preserve">NOTES &amp; TIPS</t>
  </si>
  <si>
    <t xml:space="preserve">• All prices are per-share. Multiply by 100 (or your multiplier) × contracts for dollar amounts.</t>
  </si>
  <si>
    <t xml:space="preserve">• Long options: max loss = premium paid. Short naked calls have theoretically unlimited risk.</t>
  </si>
  <si>
    <t xml:space="preserve">• Credit spreads: you receive net premium; max profit is the credit. Debit spreads: you pay net premium.</t>
  </si>
  <si>
    <t xml:space="preserve">• Break-even is the underlying price at expiration where total P&amp;L = 0.</t>
  </si>
  <si>
    <t xml:space="preserve">• This calculator uses expiration P&amp;L only (no early assignment, dividends, or live Greeks).</t>
  </si>
  <si>
    <t xml:space="preserve">• For live pricing and Greeks, use your broker platform or a Black-Scholes model with IV input.</t>
  </si>
  <si>
    <t xml:space="preserve">• Always size positions so max loss is acceptable relative to your account (e.g. 1–2% risk).</t>
  </si>
  <si>
    <t xml:space="preserve">Disclaimer: For educational use only. Options involve substantial risk of loss. Past results do not guarantee future performance.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</si>
</sst>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.00"/>
    <numFmt numFmtId="166" formatCode="0"/>
    <numFmt numFmtId="167" formatCode="\$#,##0.00;&quot;($&quot;#,##0.00\)"/>
    <numFmt numFmtId="168" formatCode="\$#,##0.00;&quot;($&quot;#,##0.00\);\-"/>
    <numFmt numFmtId="169" formatCode="\$#,##0.00;&quot;($&quot;#,##0.00\);&quot;Unlimited&quot;"/>
    <numFmt numFmtId="170" formatCode="0.0%;\(0.0%\);\-"/>
    <numFmt numFmtId="171" formatCode="0.00"/>
    <numFmt numFmtId="172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99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D6E3F0"/>
        <bgColor rgb="FFE2EFDA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color rgb="FF006100"/>
        <sz val="10"/>
      </font>
      <fill>
        <patternFill>
          <bgColor rgb="FFC6EFCE"/>
        </patternFill>
      </fill>
    </dxf>
    <dxf>
      <font>
        <name val="Arial"/>
        <charset val="1"/>
        <family val="0"/>
        <color rgb="FF9C0006"/>
        <sz val="10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2F2F2"/>
      <rgbColor rgb="FFE2EFDA"/>
      <rgbColor rgb="FF660066"/>
      <rgbColor rgb="FFFF8080"/>
      <rgbColor rgb="FF0066CC"/>
      <rgbColor rgb="FFD6E3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5" min="5" style="0" width="24"/>
    <col collapsed="false" customWidth="true" hidden="false" outlineLevel="0" max="6" min="6" style="0" width="14"/>
    <col collapsed="false" customWidth="true" hidden="false" outlineLevel="0" max="7" min="7" style="0" width="3"/>
    <col collapsed="false" customWidth="true" hidden="false" outlineLevel="0" max="8" min="8" style="0" width="18"/>
    <col collapsed="false" customWidth="true" hidden="false" outlineLevel="0" max="9" min="9" style="0" width="12"/>
  </cols>
  <sheetData>
    <row r="2" customFormat="false" ht="27.75" hidden="false" customHeight="true" outlineLevel="0" collapsed="false">
      <c r="B2" s="1" t="s">
        <v>0</v>
      </c>
      <c r="C2" s="1"/>
      <c r="D2" s="1"/>
      <c r="E2" s="1"/>
      <c r="F2" s="1"/>
    </row>
    <row r="3" customFormat="false" ht="15" hidden="false" customHeight="true" outlineLevel="0" collapsed="false">
      <c r="B3" s="2" t="s">
        <v>1</v>
      </c>
      <c r="C3" s="2"/>
      <c r="D3" s="2"/>
      <c r="E3" s="2"/>
      <c r="F3" s="2"/>
    </row>
    <row r="5" customFormat="false" ht="15" hidden="false" customHeight="true" outlineLevel="0" collapsed="false">
      <c r="B5" s="3" t="s">
        <v>2</v>
      </c>
      <c r="C5" s="3"/>
      <c r="E5" s="3" t="s">
        <v>3</v>
      </c>
      <c r="F5" s="3"/>
    </row>
    <row r="6" customFormat="false" ht="15" hidden="false" customHeight="false" outlineLevel="0" collapsed="false">
      <c r="B6" s="4" t="s">
        <v>4</v>
      </c>
      <c r="C6" s="5" t="n">
        <v>100</v>
      </c>
      <c r="E6" s="4" t="s">
        <v>5</v>
      </c>
      <c r="F6" s="6" t="n">
        <v>100</v>
      </c>
    </row>
    <row r="7" customFormat="false" ht="15" hidden="false" customHeight="false" outlineLevel="0" collapsed="false">
      <c r="B7" s="4" t="s">
        <v>6</v>
      </c>
      <c r="C7" s="5" t="n">
        <v>105</v>
      </c>
      <c r="E7" s="4" t="s">
        <v>7</v>
      </c>
      <c r="F7" s="7" t="n">
        <f aca="false">C8*C9*F6</f>
        <v>500</v>
      </c>
    </row>
    <row r="8" customFormat="false" ht="15" hidden="false" customHeight="false" outlineLevel="0" collapsed="false">
      <c r="B8" s="4" t="s">
        <v>8</v>
      </c>
      <c r="C8" s="5" t="n">
        <v>2.5</v>
      </c>
      <c r="E8" s="4" t="s">
        <v>9</v>
      </c>
      <c r="F8" s="8" t="n">
        <f aca="false">IF(UPPER(LEFT(C11,1))="L",1,-1)</f>
        <v>1</v>
      </c>
    </row>
    <row r="9" customFormat="false" ht="15" hidden="false" customHeight="false" outlineLevel="0" collapsed="false">
      <c r="B9" s="4" t="s">
        <v>10</v>
      </c>
      <c r="C9" s="6" t="n">
        <v>2</v>
      </c>
      <c r="E9" s="4" t="s">
        <v>11</v>
      </c>
      <c r="F9" s="8" t="n">
        <f aca="false">IF(UPPER(LEFT(C10,1))="C",1,0)</f>
        <v>1</v>
      </c>
    </row>
    <row r="10" customFormat="false" ht="15" hidden="false" customHeight="false" outlineLevel="0" collapsed="false">
      <c r="B10" s="4" t="s">
        <v>12</v>
      </c>
      <c r="C10" s="9" t="s">
        <v>13</v>
      </c>
    </row>
    <row r="11" customFormat="false" ht="15" hidden="false" customHeight="false" outlineLevel="0" collapsed="false">
      <c r="B11" s="4" t="s">
        <v>14</v>
      </c>
      <c r="C11" s="9" t="s">
        <v>15</v>
      </c>
    </row>
    <row r="12" customFormat="false" ht="15" hidden="false" customHeight="false" outlineLevel="0" collapsed="false">
      <c r="B12" s="4" t="s">
        <v>16</v>
      </c>
      <c r="C12" s="6" t="n">
        <v>30</v>
      </c>
    </row>
    <row r="13" customFormat="false" ht="15" hidden="false" customHeight="false" outlineLevel="0" collapsed="false">
      <c r="B13" s="10" t="s">
        <v>17</v>
      </c>
      <c r="C13" s="10"/>
    </row>
    <row r="15" customFormat="false" ht="15" hidden="false" customHeight="true" outlineLevel="0" collapsed="false">
      <c r="B15" s="3" t="s">
        <v>18</v>
      </c>
      <c r="C15" s="3"/>
      <c r="E15" s="3" t="s">
        <v>19</v>
      </c>
      <c r="F15" s="3"/>
    </row>
    <row r="16" customFormat="false" ht="15" hidden="false" customHeight="false" outlineLevel="0" collapsed="false">
      <c r="B16" s="4" t="s">
        <v>20</v>
      </c>
      <c r="C16" s="5" t="n">
        <v>100</v>
      </c>
      <c r="E16" s="4" t="s">
        <v>21</v>
      </c>
      <c r="F16" s="11" t="n">
        <f aca="false">IF(F9=1, C7+C8, C7-C8)</f>
        <v>107.5</v>
      </c>
    </row>
    <row r="17" customFormat="false" ht="15" hidden="false" customHeight="false" outlineLevel="0" collapsed="false">
      <c r="B17" s="4" t="s">
        <v>22</v>
      </c>
      <c r="C17" s="12" t="n">
        <f aca="false">IF(F9=1,MAX(C16-C7,0),MAX(C7-C16,0))</f>
        <v>0</v>
      </c>
      <c r="E17" s="4" t="s">
        <v>23</v>
      </c>
      <c r="F17" s="13" t="str">
        <f aca="false">IF(AND(F9=1,F8=1),"Unlimited",IF(AND(F9=0,F8=1),(C7-C8)*C9*F6, C8*C9*F6))</f>
        <v>Unlimited</v>
      </c>
    </row>
    <row r="18" customFormat="false" ht="15" hidden="false" customHeight="false" outlineLevel="0" collapsed="false">
      <c r="B18" s="4" t="s">
        <v>24</v>
      </c>
      <c r="C18" s="12" t="n">
        <f aca="false">IF(F8=1, C17-C8, C8-C17)</f>
        <v>-2.5</v>
      </c>
      <c r="E18" s="4" t="s">
        <v>25</v>
      </c>
      <c r="F18" s="13" t="n">
        <f aca="false">IF(AND(F9=1,F8=-1),"Unlimited",IF(F8=1, C8*C9*F6, (C7-C8)*C9*F6))</f>
        <v>500</v>
      </c>
    </row>
    <row r="19" customFormat="false" ht="15" hidden="false" customHeight="false" outlineLevel="0" collapsed="false">
      <c r="B19" s="4" t="s">
        <v>26</v>
      </c>
      <c r="C19" s="14" t="n">
        <f aca="false">C18*C9*F6</f>
        <v>-500</v>
      </c>
      <c r="E19" s="4" t="s">
        <v>27</v>
      </c>
      <c r="F19" s="15" t="str">
        <f aca="false">IF(F9=1,IF(C6&gt;C7,"ITM",IF(C6=C7,"ATM","OTM")),IF(C6&lt;C7,"ITM",IF(C6=C7,"ATM","OTM")))</f>
        <v>OTM</v>
      </c>
    </row>
    <row r="20" customFormat="false" ht="15" hidden="false" customHeight="false" outlineLevel="0" collapsed="false">
      <c r="B20" s="4" t="s">
        <v>28</v>
      </c>
      <c r="C20" s="16" t="n">
        <f aca="false">IF(F7=0,0,C19/ABS(F7))</f>
        <v>-1</v>
      </c>
      <c r="E20" s="4" t="s">
        <v>29</v>
      </c>
      <c r="F20" s="11" t="n">
        <f aca="false">IF(F9=1,MAX(C6-C7,0),MAX(C7-C6,0))</f>
        <v>0</v>
      </c>
    </row>
    <row r="21" customFormat="false" ht="15" hidden="false" customHeight="false" outlineLevel="0" collapsed="false">
      <c r="E21" s="4" t="s">
        <v>30</v>
      </c>
      <c r="F21" s="11" t="n">
        <f aca="false">MAX(C8-F20,0)</f>
        <v>2.5</v>
      </c>
    </row>
    <row r="23" customFormat="false" ht="15" hidden="false" customHeight="true" outlineLevel="0" collapsed="false">
      <c r="B23" s="3" t="s">
        <v>31</v>
      </c>
      <c r="C23" s="3"/>
      <c r="D23" s="3"/>
      <c r="E23" s="3"/>
      <c r="F23" s="3"/>
      <c r="G23" s="3"/>
      <c r="H23" s="3"/>
      <c r="I23" s="3"/>
    </row>
    <row r="24" customFormat="false" ht="53.7" hidden="false" customHeight="false" outlineLevel="0" collapsed="false">
      <c r="B24" s="17" t="s">
        <v>32</v>
      </c>
      <c r="C24" s="17" t="s">
        <v>33</v>
      </c>
      <c r="D24" s="17" t="s">
        <v>34</v>
      </c>
      <c r="E24" s="17" t="s">
        <v>35</v>
      </c>
    </row>
    <row r="25" customFormat="false" ht="46.25" hidden="false" customHeight="false" outlineLevel="0" collapsed="false">
      <c r="B25" s="11" t="n">
        <f aca="false">$C$6*(1+-0.2)</f>
        <v>80</v>
      </c>
      <c r="C25" s="11" t="n">
        <f aca="false">IF($F$9=1,MAX(B25-$C$7,0),MAX($C$7-B25,0))</f>
        <v>0</v>
      </c>
      <c r="D25" s="7" t="n">
        <f aca="false">IF($F$8=1,C25-$C$8,$C$8-C25)</f>
        <v>-2.5</v>
      </c>
      <c r="E25" s="7" t="n">
        <f aca="false">D25*$C$9*$F$6</f>
        <v>-500</v>
      </c>
    </row>
    <row r="26" customFormat="false" ht="46.25" hidden="false" customHeight="false" outlineLevel="0" collapsed="false">
      <c r="B26" s="11" t="n">
        <f aca="false">$C$6*(1+-0.15)</f>
        <v>85</v>
      </c>
      <c r="C26" s="11" t="n">
        <f aca="false">IF($F$9=1,MAX(B26-$C$7,0),MAX($C$7-B26,0))</f>
        <v>0</v>
      </c>
      <c r="D26" s="7" t="n">
        <f aca="false">IF($F$8=1,C26-$C$8,$C$8-C26)</f>
        <v>-2.5</v>
      </c>
      <c r="E26" s="7" t="n">
        <f aca="false">D26*$C$9*$F$6</f>
        <v>-500</v>
      </c>
    </row>
    <row r="27" customFormat="false" ht="46.25" hidden="false" customHeight="false" outlineLevel="0" collapsed="false">
      <c r="B27" s="11" t="n">
        <f aca="false">$C$6*(1+-0.1)</f>
        <v>90</v>
      </c>
      <c r="C27" s="11" t="n">
        <f aca="false">IF($F$9=1,MAX(B27-$C$7,0),MAX($C$7-B27,0))</f>
        <v>0</v>
      </c>
      <c r="D27" s="7" t="n">
        <f aca="false">IF($F$8=1,C27-$C$8,$C$8-C27)</f>
        <v>-2.5</v>
      </c>
      <c r="E27" s="7" t="n">
        <f aca="false">D27*$C$9*$F$6</f>
        <v>-500</v>
      </c>
    </row>
    <row r="28" customFormat="false" ht="46.25" hidden="false" customHeight="false" outlineLevel="0" collapsed="false">
      <c r="B28" s="11" t="n">
        <f aca="false">$C$6*(1+-0.07)</f>
        <v>93</v>
      </c>
      <c r="C28" s="11" t="n">
        <f aca="false">IF($F$9=1,MAX(B28-$C$7,0),MAX($C$7-B28,0))</f>
        <v>0</v>
      </c>
      <c r="D28" s="7" t="n">
        <f aca="false">IF($F$8=1,C28-$C$8,$C$8-C28)</f>
        <v>-2.5</v>
      </c>
      <c r="E28" s="7" t="n">
        <f aca="false">D28*$C$9*$F$6</f>
        <v>-500</v>
      </c>
    </row>
    <row r="29" customFormat="false" ht="46.25" hidden="false" customHeight="false" outlineLevel="0" collapsed="false">
      <c r="B29" s="11" t="n">
        <f aca="false">$C$6*(1+-0.05)</f>
        <v>95</v>
      </c>
      <c r="C29" s="11" t="n">
        <f aca="false">IF($F$9=1,MAX(B29-$C$7,0),MAX($C$7-B29,0))</f>
        <v>0</v>
      </c>
      <c r="D29" s="7" t="n">
        <f aca="false">IF($F$8=1,C29-$C$8,$C$8-C29)</f>
        <v>-2.5</v>
      </c>
      <c r="E29" s="7" t="n">
        <f aca="false">D29*$C$9*$F$6</f>
        <v>-500</v>
      </c>
    </row>
    <row r="30" customFormat="false" ht="46.25" hidden="false" customHeight="false" outlineLevel="0" collapsed="false">
      <c r="B30" s="11" t="n">
        <f aca="false">$C$6*(1+-0.03)</f>
        <v>97</v>
      </c>
      <c r="C30" s="11" t="n">
        <f aca="false">IF($F$9=1,MAX(B30-$C$7,0),MAX($C$7-B30,0))</f>
        <v>0</v>
      </c>
      <c r="D30" s="7" t="n">
        <f aca="false">IF($F$8=1,C30-$C$8,$C$8-C30)</f>
        <v>-2.5</v>
      </c>
      <c r="E30" s="7" t="n">
        <f aca="false">D30*$C$9*$F$6</f>
        <v>-500</v>
      </c>
    </row>
    <row r="31" customFormat="false" ht="46.25" hidden="false" customHeight="false" outlineLevel="0" collapsed="false">
      <c r="B31" s="11" t="n">
        <f aca="false">$C$6*(1+-0.01)</f>
        <v>99</v>
      </c>
      <c r="C31" s="11" t="n">
        <f aca="false">IF($F$9=1,MAX(B31-$C$7,0),MAX($C$7-B31,0))</f>
        <v>0</v>
      </c>
      <c r="D31" s="7" t="n">
        <f aca="false">IF($F$8=1,C31-$C$8,$C$8-C31)</f>
        <v>-2.5</v>
      </c>
      <c r="E31" s="7" t="n">
        <f aca="false">D31*$C$9*$F$6</f>
        <v>-500</v>
      </c>
    </row>
    <row r="32" customFormat="false" ht="46.25" hidden="false" customHeight="false" outlineLevel="0" collapsed="false">
      <c r="B32" s="11" t="n">
        <f aca="false">$C$6*(1+0)</f>
        <v>100</v>
      </c>
      <c r="C32" s="11" t="n">
        <f aca="false">IF($F$9=1,MAX(B32-$C$7,0),MAX($C$7-B32,0))</f>
        <v>0</v>
      </c>
      <c r="D32" s="7" t="n">
        <f aca="false">IF($F$8=1,C32-$C$8,$C$8-C32)</f>
        <v>-2.5</v>
      </c>
      <c r="E32" s="7" t="n">
        <f aca="false">D32*$C$9*$F$6</f>
        <v>-500</v>
      </c>
    </row>
    <row r="33" customFormat="false" ht="46.25" hidden="false" customHeight="false" outlineLevel="0" collapsed="false">
      <c r="B33" s="11" t="n">
        <f aca="false">$C$6*(1+0.01)</f>
        <v>101</v>
      </c>
      <c r="C33" s="11" t="n">
        <f aca="false">IF($F$9=1,MAX(B33-$C$7,0),MAX($C$7-B33,0))</f>
        <v>0</v>
      </c>
      <c r="D33" s="7" t="n">
        <f aca="false">IF($F$8=1,C33-$C$8,$C$8-C33)</f>
        <v>-2.5</v>
      </c>
      <c r="E33" s="7" t="n">
        <f aca="false">D33*$C$9*$F$6</f>
        <v>-500</v>
      </c>
    </row>
    <row r="34" customFormat="false" ht="46.25" hidden="false" customHeight="false" outlineLevel="0" collapsed="false">
      <c r="B34" s="11" t="n">
        <f aca="false">$C$6*(1+0.03)</f>
        <v>103</v>
      </c>
      <c r="C34" s="11" t="n">
        <f aca="false">IF($F$9=1,MAX(B34-$C$7,0),MAX($C$7-B34,0))</f>
        <v>0</v>
      </c>
      <c r="D34" s="7" t="n">
        <f aca="false">IF($F$8=1,C34-$C$8,$C$8-C34)</f>
        <v>-2.5</v>
      </c>
      <c r="E34" s="7" t="n">
        <f aca="false">D34*$C$9*$F$6</f>
        <v>-500</v>
      </c>
    </row>
    <row r="35" customFormat="false" ht="46.25" hidden="false" customHeight="false" outlineLevel="0" collapsed="false">
      <c r="B35" s="11" t="n">
        <f aca="false">$C$6*(1+0.05)</f>
        <v>105</v>
      </c>
      <c r="C35" s="11" t="n">
        <f aca="false">IF($F$9=1,MAX(B35-$C$7,0),MAX($C$7-B35,0))</f>
        <v>0</v>
      </c>
      <c r="D35" s="7" t="n">
        <f aca="false">IF($F$8=1,C35-$C$8,$C$8-C35)</f>
        <v>-2.5</v>
      </c>
      <c r="E35" s="7" t="n">
        <f aca="false">D35*$C$9*$F$6</f>
        <v>-500</v>
      </c>
    </row>
    <row r="36" customFormat="false" ht="46.25" hidden="false" customHeight="false" outlineLevel="0" collapsed="false">
      <c r="B36" s="11" t="n">
        <f aca="false">$C$6*(1+0.07)</f>
        <v>107</v>
      </c>
      <c r="C36" s="11" t="n">
        <f aca="false">IF($F$9=1,MAX(B36-$C$7,0),MAX($C$7-B36,0))</f>
        <v>2</v>
      </c>
      <c r="D36" s="7" t="n">
        <f aca="false">IF($F$8=1,C36-$C$8,$C$8-C36)</f>
        <v>-0.5</v>
      </c>
      <c r="E36" s="7" t="n">
        <f aca="false">D36*$C$9*$F$6</f>
        <v>-100</v>
      </c>
    </row>
    <row r="37" customFormat="false" ht="35.05" hidden="false" customHeight="false" outlineLevel="0" collapsed="false">
      <c r="B37" s="11" t="n">
        <f aca="false">$C$6*(1+0.1)</f>
        <v>110</v>
      </c>
      <c r="C37" s="11" t="n">
        <f aca="false">IF($F$9=1,MAX(B37-$C$7,0),MAX($C$7-B37,0))</f>
        <v>5.00000000000001</v>
      </c>
      <c r="D37" s="7" t="n">
        <f aca="false">IF($F$8=1,C37-$C$8,$C$8-C37)</f>
        <v>2.50000000000001</v>
      </c>
      <c r="E37" s="7" t="n">
        <f aca="false">D37*$C$9*$F$6</f>
        <v>500.000000000003</v>
      </c>
    </row>
    <row r="38" customFormat="false" ht="35.05" hidden="false" customHeight="false" outlineLevel="0" collapsed="false">
      <c r="B38" s="11" t="n">
        <f aca="false">$C$6*(1+0.15)</f>
        <v>115</v>
      </c>
      <c r="C38" s="11" t="n">
        <f aca="false">IF($F$9=1,MAX(B38-$C$7,0),MAX($C$7-B38,0))</f>
        <v>9.99999999999999</v>
      </c>
      <c r="D38" s="7" t="n">
        <f aca="false">IF($F$8=1,C38-$C$8,$C$8-C38)</f>
        <v>7.49999999999999</v>
      </c>
      <c r="E38" s="7" t="n">
        <f aca="false">D38*$C$9*$F$6</f>
        <v>1500</v>
      </c>
    </row>
    <row r="39" customFormat="false" ht="35.05" hidden="false" customHeight="false" outlineLevel="0" collapsed="false">
      <c r="B39" s="11" t="n">
        <f aca="false">$C$6*(1+0.2)</f>
        <v>120</v>
      </c>
      <c r="C39" s="11" t="n">
        <f aca="false">IF($F$9=1,MAX(B39-$C$7,0),MAX($C$7-B39,0))</f>
        <v>15</v>
      </c>
      <c r="D39" s="7" t="n">
        <f aca="false">IF($F$8=1,C39-$C$8,$C$8-C39)</f>
        <v>12.5</v>
      </c>
      <c r="E39" s="7" t="n">
        <f aca="false">D39*$C$9*$F$6</f>
        <v>2500</v>
      </c>
    </row>
    <row r="41" customFormat="false" ht="15" hidden="false" customHeight="false" outlineLevel="0" collapsed="false">
      <c r="B41" s="10" t="s">
        <v>36</v>
      </c>
      <c r="C41" s="10"/>
      <c r="D41" s="10"/>
      <c r="E41" s="10"/>
      <c r="F41" s="10"/>
    </row>
  </sheetData>
  <mergeCells count="9">
    <mergeCell ref="B2:F2"/>
    <mergeCell ref="B3:F3"/>
    <mergeCell ref="B5:C5"/>
    <mergeCell ref="E5:F5"/>
    <mergeCell ref="B13:C13"/>
    <mergeCell ref="B15:C15"/>
    <mergeCell ref="E15:F15"/>
    <mergeCell ref="B23:I23"/>
    <mergeCell ref="B41:F41"/>
  </mergeCells>
  <conditionalFormatting sqref="E25:E39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7" min="7" style="0" width="3"/>
    <col collapsed="false" customWidth="true" hidden="false" outlineLevel="0" max="8" min="8" style="0" width="14"/>
    <col collapsed="false" customWidth="true" hidden="false" outlineLevel="0" max="9" min="9" style="0" width="12"/>
  </cols>
  <sheetData>
    <row r="2" customFormat="false" ht="27.75" hidden="false" customHeight="true" outlineLevel="0" collapsed="false">
      <c r="B2" s="1" t="s">
        <v>37</v>
      </c>
      <c r="C2" s="1"/>
      <c r="D2" s="1"/>
      <c r="E2" s="1"/>
      <c r="F2" s="1"/>
    </row>
    <row r="3" customFormat="false" ht="15" hidden="false" customHeight="true" outlineLevel="0" collapsed="false">
      <c r="B3" s="2" t="s">
        <v>38</v>
      </c>
      <c r="C3" s="2"/>
      <c r="D3" s="2"/>
      <c r="E3" s="2"/>
      <c r="F3" s="2"/>
    </row>
    <row r="5" customFormat="false" ht="15" hidden="false" customHeight="true" outlineLevel="0" collapsed="false">
      <c r="B5" s="3" t="s">
        <v>39</v>
      </c>
      <c r="C5" s="3"/>
      <c r="E5" s="3" t="s">
        <v>40</v>
      </c>
      <c r="F5" s="3"/>
    </row>
    <row r="6" customFormat="false" ht="15" hidden="false" customHeight="false" outlineLevel="0" collapsed="false">
      <c r="B6" s="4" t="s">
        <v>41</v>
      </c>
      <c r="C6" s="5" t="n">
        <v>100</v>
      </c>
      <c r="E6" s="4" t="s">
        <v>42</v>
      </c>
      <c r="F6" s="7" t="n">
        <f aca="false">C9-C11</f>
        <v>1.7</v>
      </c>
    </row>
    <row r="7" customFormat="false" ht="15" hidden="false" customHeight="false" outlineLevel="0" collapsed="false">
      <c r="B7" s="4" t="s">
        <v>12</v>
      </c>
      <c r="C7" s="9" t="s">
        <v>13</v>
      </c>
      <c r="E7" s="4" t="s">
        <v>43</v>
      </c>
      <c r="F7" s="18" t="n">
        <f aca="false">F6*C12*C13</f>
        <v>340</v>
      </c>
    </row>
    <row r="8" customFormat="false" ht="15" hidden="false" customHeight="false" outlineLevel="0" collapsed="false">
      <c r="B8" s="4" t="s">
        <v>44</v>
      </c>
      <c r="C8" s="5" t="n">
        <v>100</v>
      </c>
      <c r="E8" s="4" t="s">
        <v>45</v>
      </c>
      <c r="F8" s="19" t="n">
        <f aca="false">ABS(C10-C8)</f>
        <v>5</v>
      </c>
    </row>
    <row r="9" customFormat="false" ht="15" hidden="false" customHeight="false" outlineLevel="0" collapsed="false">
      <c r="B9" s="4" t="s">
        <v>46</v>
      </c>
      <c r="C9" s="5" t="n">
        <v>3.5</v>
      </c>
      <c r="E9" s="4" t="s">
        <v>47</v>
      </c>
      <c r="F9" s="8" t="n">
        <f aca="false">IF(UPPER(LEFT(C7,1))="C",1,0)</f>
        <v>1</v>
      </c>
    </row>
    <row r="10" customFormat="false" ht="15" hidden="false" customHeight="false" outlineLevel="0" collapsed="false">
      <c r="B10" s="4" t="s">
        <v>48</v>
      </c>
      <c r="C10" s="5" t="n">
        <v>105</v>
      </c>
    </row>
    <row r="11" customFormat="false" ht="15" hidden="false" customHeight="false" outlineLevel="0" collapsed="false">
      <c r="B11" s="4" t="s">
        <v>49</v>
      </c>
      <c r="C11" s="5" t="n">
        <v>1.8</v>
      </c>
    </row>
    <row r="12" customFormat="false" ht="15" hidden="false" customHeight="false" outlineLevel="0" collapsed="false">
      <c r="B12" s="4" t="s">
        <v>50</v>
      </c>
      <c r="C12" s="6" t="n">
        <v>2</v>
      </c>
    </row>
    <row r="13" customFormat="false" ht="15" hidden="false" customHeight="false" outlineLevel="0" collapsed="false">
      <c r="B13" s="4" t="s">
        <v>51</v>
      </c>
      <c r="C13" s="6" t="n">
        <v>100</v>
      </c>
    </row>
    <row r="15" customFormat="false" ht="15" hidden="false" customHeight="true" outlineLevel="0" collapsed="false">
      <c r="B15" s="3" t="s">
        <v>52</v>
      </c>
      <c r="C15" s="3"/>
      <c r="E15" s="3" t="s">
        <v>53</v>
      </c>
      <c r="F15" s="3"/>
    </row>
    <row r="16" customFormat="false" ht="15" hidden="false" customHeight="false" outlineLevel="0" collapsed="false">
      <c r="B16" s="4" t="s">
        <v>23</v>
      </c>
      <c r="C16" s="18" t="n">
        <f aca="false">IF(F6&gt;=0, (F8-F6)*C12*C13, ABS(F6)*C12*C13)</f>
        <v>660</v>
      </c>
      <c r="E16" s="4" t="s">
        <v>54</v>
      </c>
      <c r="F16" s="15" t="str">
        <f aca="false">IF(F9=1,IF(F6&gt;=0,"Bull Call Debit","Bear Call Credit"),IF(F6&gt;=0,"Bear Put Debit","Bull Put Credit"))</f>
        <v>Bull Call Debit</v>
      </c>
    </row>
    <row r="17" customFormat="false" ht="15" hidden="false" customHeight="false" outlineLevel="0" collapsed="false">
      <c r="B17" s="4" t="s">
        <v>25</v>
      </c>
      <c r="C17" s="18" t="n">
        <f aca="false">IF(F6&gt;=0, F6*C12*C13, (F8-ABS(F6))*C12*C13)</f>
        <v>340</v>
      </c>
      <c r="E17" s="4" t="s">
        <v>55</v>
      </c>
      <c r="F17" s="15" t="str">
        <f aca="false">IF(OR(F16="Bull Call Debit",F16="Bull Put Credit"),"Bullish","Bearish")</f>
        <v>Bullish</v>
      </c>
    </row>
    <row r="18" customFormat="false" ht="15" hidden="false" customHeight="false" outlineLevel="0" collapsed="false">
      <c r="B18" s="4" t="s">
        <v>56</v>
      </c>
      <c r="C18" s="11" t="n">
        <f aca="false">IF(F9=1, IF(F6&gt;=0, C8+F6, C10+ABS(F6)), IF(F6&gt;=0, C8-F6, C10-ABS(F6)))</f>
        <v>101.7</v>
      </c>
    </row>
    <row r="19" customFormat="false" ht="15" hidden="false" customHeight="false" outlineLevel="0" collapsed="false">
      <c r="B19" s="4" t="s">
        <v>57</v>
      </c>
      <c r="C19" s="19" t="n">
        <f aca="false">IF(C16=0,0,C17/C16)</f>
        <v>0.515151515151515</v>
      </c>
    </row>
    <row r="20" customFormat="false" ht="15" hidden="false" customHeight="false" outlineLevel="0" collapsed="false">
      <c r="B20" s="4" t="s">
        <v>58</v>
      </c>
      <c r="C20" s="20" t="n">
        <f aca="false">IF(C17=0,0,C16/C17)</f>
        <v>1.94117647058824</v>
      </c>
    </row>
    <row r="22" customFormat="false" ht="15" hidden="false" customHeight="true" outlineLevel="0" collapsed="false">
      <c r="B22" s="3" t="s">
        <v>59</v>
      </c>
      <c r="C22" s="3"/>
      <c r="D22" s="3"/>
      <c r="E22" s="3"/>
      <c r="F22" s="3"/>
    </row>
    <row r="23" customFormat="false" ht="53.7" hidden="false" customHeight="false" outlineLevel="0" collapsed="false">
      <c r="B23" s="17" t="s">
        <v>32</v>
      </c>
      <c r="C23" s="17" t="s">
        <v>60</v>
      </c>
      <c r="D23" s="17" t="s">
        <v>61</v>
      </c>
      <c r="E23" s="17" t="s">
        <v>62</v>
      </c>
      <c r="F23" s="17" t="s">
        <v>35</v>
      </c>
    </row>
    <row r="24" customFormat="false" ht="35.05" hidden="false" customHeight="false" outlineLevel="0" collapsed="false">
      <c r="B24" s="11" t="n">
        <f aca="false">$C$6*(1+-0.15)</f>
        <v>85</v>
      </c>
      <c r="C24" s="11" t="n">
        <f aca="false">IF($F$9=1,MAX(B24-$C$8,0),MAX($C$8-B24,0))</f>
        <v>0</v>
      </c>
      <c r="D24" s="11" t="n">
        <f aca="false">IF($F$9=1,MAX(B24-$C$10,0),MAX($C$10-B24,0))</f>
        <v>0</v>
      </c>
      <c r="E24" s="7" t="n">
        <f aca="false">C24-D24</f>
        <v>0</v>
      </c>
      <c r="F24" s="7" t="n">
        <f aca="false">(E24-$F$6)*$C$12*$C$13</f>
        <v>-340</v>
      </c>
    </row>
    <row r="25" customFormat="false" ht="35.05" hidden="false" customHeight="false" outlineLevel="0" collapsed="false">
      <c r="B25" s="11" t="n">
        <f aca="false">$C$6*(1+-0.1)</f>
        <v>90</v>
      </c>
      <c r="C25" s="11" t="n">
        <f aca="false">IF($F$9=1,MAX(B25-$C$8,0),MAX($C$8-B25,0))</f>
        <v>0</v>
      </c>
      <c r="D25" s="11" t="n">
        <f aca="false">IF($F$9=1,MAX(B25-$C$10,0),MAX($C$10-B25,0))</f>
        <v>0</v>
      </c>
      <c r="E25" s="7" t="n">
        <f aca="false">C25-D25</f>
        <v>0</v>
      </c>
      <c r="F25" s="7" t="n">
        <f aca="false">(E25-$F$6)*$C$12*$C$13</f>
        <v>-340</v>
      </c>
    </row>
    <row r="26" customFormat="false" ht="35.05" hidden="false" customHeight="false" outlineLevel="0" collapsed="false">
      <c r="B26" s="11" t="n">
        <f aca="false">$C$6*(1+-0.07)</f>
        <v>93</v>
      </c>
      <c r="C26" s="11" t="n">
        <f aca="false">IF($F$9=1,MAX(B26-$C$8,0),MAX($C$8-B26,0))</f>
        <v>0</v>
      </c>
      <c r="D26" s="11" t="n">
        <f aca="false">IF($F$9=1,MAX(B26-$C$10,0),MAX($C$10-B26,0))</f>
        <v>0</v>
      </c>
      <c r="E26" s="7" t="n">
        <f aca="false">C26-D26</f>
        <v>0</v>
      </c>
      <c r="F26" s="7" t="n">
        <f aca="false">(E26-$F$6)*$C$12*$C$13</f>
        <v>-340</v>
      </c>
    </row>
    <row r="27" customFormat="false" ht="35.05" hidden="false" customHeight="false" outlineLevel="0" collapsed="false">
      <c r="B27" s="11" t="n">
        <f aca="false">$C$6*(1+-0.05)</f>
        <v>95</v>
      </c>
      <c r="C27" s="11" t="n">
        <f aca="false">IF($F$9=1,MAX(B27-$C$8,0),MAX($C$8-B27,0))</f>
        <v>0</v>
      </c>
      <c r="D27" s="11" t="n">
        <f aca="false">IF($F$9=1,MAX(B27-$C$10,0),MAX($C$10-B27,0))</f>
        <v>0</v>
      </c>
      <c r="E27" s="7" t="n">
        <f aca="false">C27-D27</f>
        <v>0</v>
      </c>
      <c r="F27" s="7" t="n">
        <f aca="false">(E27-$F$6)*$C$12*$C$13</f>
        <v>-340</v>
      </c>
    </row>
    <row r="28" customFormat="false" ht="35.05" hidden="false" customHeight="false" outlineLevel="0" collapsed="false">
      <c r="B28" s="11" t="n">
        <f aca="false">$C$6*(1+-0.03)</f>
        <v>97</v>
      </c>
      <c r="C28" s="11" t="n">
        <f aca="false">IF($F$9=1,MAX(B28-$C$8,0),MAX($C$8-B28,0))</f>
        <v>0</v>
      </c>
      <c r="D28" s="11" t="n">
        <f aca="false">IF($F$9=1,MAX(B28-$C$10,0),MAX($C$10-B28,0))</f>
        <v>0</v>
      </c>
      <c r="E28" s="7" t="n">
        <f aca="false">C28-D28</f>
        <v>0</v>
      </c>
      <c r="F28" s="7" t="n">
        <f aca="false">(E28-$F$6)*$C$12*$C$13</f>
        <v>-340</v>
      </c>
    </row>
    <row r="29" customFormat="false" ht="35.05" hidden="false" customHeight="false" outlineLevel="0" collapsed="false">
      <c r="B29" s="11" t="n">
        <f aca="false">$C$6*(1+-0.01)</f>
        <v>99</v>
      </c>
      <c r="C29" s="11" t="n">
        <f aca="false">IF($F$9=1,MAX(B29-$C$8,0),MAX($C$8-B29,0))</f>
        <v>0</v>
      </c>
      <c r="D29" s="11" t="n">
        <f aca="false">IF($F$9=1,MAX(B29-$C$10,0),MAX($C$10-B29,0))</f>
        <v>0</v>
      </c>
      <c r="E29" s="7" t="n">
        <f aca="false">C29-D29</f>
        <v>0</v>
      </c>
      <c r="F29" s="7" t="n">
        <f aca="false">(E29-$F$6)*$C$12*$C$13</f>
        <v>-340</v>
      </c>
    </row>
    <row r="30" customFormat="false" ht="35.05" hidden="false" customHeight="false" outlineLevel="0" collapsed="false">
      <c r="B30" s="11" t="n">
        <f aca="false">$C$6*(1+0)</f>
        <v>100</v>
      </c>
      <c r="C30" s="11" t="n">
        <f aca="false">IF($F$9=1,MAX(B30-$C$8,0),MAX($C$8-B30,0))</f>
        <v>0</v>
      </c>
      <c r="D30" s="11" t="n">
        <f aca="false">IF($F$9=1,MAX(B30-$C$10,0),MAX($C$10-B30,0))</f>
        <v>0</v>
      </c>
      <c r="E30" s="7" t="n">
        <f aca="false">C30-D30</f>
        <v>0</v>
      </c>
      <c r="F30" s="7" t="n">
        <f aca="false">(E30-$F$6)*$C$12*$C$13</f>
        <v>-340</v>
      </c>
    </row>
    <row r="31" customFormat="false" ht="35.05" hidden="false" customHeight="false" outlineLevel="0" collapsed="false">
      <c r="B31" s="11" t="n">
        <f aca="false">$C$6*(1+0.01)</f>
        <v>101</v>
      </c>
      <c r="C31" s="11" t="n">
        <f aca="false">IF($F$9=1,MAX(B31-$C$8,0),MAX($C$8-B31,0))</f>
        <v>1</v>
      </c>
      <c r="D31" s="11" t="n">
        <f aca="false">IF($F$9=1,MAX(B31-$C$10,0),MAX($C$10-B31,0))</f>
        <v>0</v>
      </c>
      <c r="E31" s="7" t="n">
        <f aca="false">C31-D31</f>
        <v>1</v>
      </c>
      <c r="F31" s="7" t="n">
        <f aca="false">(E31-$F$6)*$C$12*$C$13</f>
        <v>-140</v>
      </c>
    </row>
    <row r="32" customFormat="false" ht="35.05" hidden="false" customHeight="false" outlineLevel="0" collapsed="false">
      <c r="B32" s="11" t="n">
        <f aca="false">$C$6*(1+0.03)</f>
        <v>103</v>
      </c>
      <c r="C32" s="11" t="n">
        <f aca="false">IF($F$9=1,MAX(B32-$C$8,0),MAX($C$8-B32,0))</f>
        <v>3</v>
      </c>
      <c r="D32" s="11" t="n">
        <f aca="false">IF($F$9=1,MAX(B32-$C$10,0),MAX($C$10-B32,0))</f>
        <v>0</v>
      </c>
      <c r="E32" s="7" t="n">
        <f aca="false">C32-D32</f>
        <v>3</v>
      </c>
      <c r="F32" s="7" t="n">
        <f aca="false">(E32-$F$6)*$C$12*$C$13</f>
        <v>260</v>
      </c>
    </row>
    <row r="33" customFormat="false" ht="35.05" hidden="false" customHeight="false" outlineLevel="0" collapsed="false">
      <c r="B33" s="11" t="n">
        <f aca="false">$C$6*(1+0.05)</f>
        <v>105</v>
      </c>
      <c r="C33" s="11" t="n">
        <f aca="false">IF($F$9=1,MAX(B33-$C$8,0),MAX($C$8-B33,0))</f>
        <v>5</v>
      </c>
      <c r="D33" s="11" t="n">
        <f aca="false">IF($F$9=1,MAX(B33-$C$10,0),MAX($C$10-B33,0))</f>
        <v>0</v>
      </c>
      <c r="E33" s="7" t="n">
        <f aca="false">C33-D33</f>
        <v>5</v>
      </c>
      <c r="F33" s="7" t="n">
        <f aca="false">(E33-$F$6)*$C$12*$C$13</f>
        <v>660</v>
      </c>
    </row>
    <row r="34" customFormat="false" ht="35.05" hidden="false" customHeight="false" outlineLevel="0" collapsed="false">
      <c r="B34" s="11" t="n">
        <f aca="false">$C$6*(1+0.07)</f>
        <v>107</v>
      </c>
      <c r="C34" s="11" t="n">
        <f aca="false">IF($F$9=1,MAX(B34-$C$8,0),MAX($C$8-B34,0))</f>
        <v>7</v>
      </c>
      <c r="D34" s="11" t="n">
        <f aca="false">IF($F$9=1,MAX(B34-$C$10,0),MAX($C$10-B34,0))</f>
        <v>2</v>
      </c>
      <c r="E34" s="7" t="n">
        <f aca="false">C34-D34</f>
        <v>5</v>
      </c>
      <c r="F34" s="7" t="n">
        <f aca="false">(E34-$F$6)*$C$12*$C$13</f>
        <v>660</v>
      </c>
    </row>
    <row r="35" customFormat="false" ht="35.05" hidden="false" customHeight="false" outlineLevel="0" collapsed="false">
      <c r="B35" s="11" t="n">
        <f aca="false">$C$6*(1+0.1)</f>
        <v>110</v>
      </c>
      <c r="C35" s="11" t="n">
        <f aca="false">IF($F$9=1,MAX(B35-$C$8,0),MAX($C$8-B35,0))</f>
        <v>10</v>
      </c>
      <c r="D35" s="11" t="n">
        <f aca="false">IF($F$9=1,MAX(B35-$C$10,0),MAX($C$10-B35,0))</f>
        <v>5.00000000000001</v>
      </c>
      <c r="E35" s="7" t="n">
        <f aca="false">C35-D35</f>
        <v>5</v>
      </c>
      <c r="F35" s="7" t="n">
        <f aca="false">(E35-$F$6)*$C$12*$C$13</f>
        <v>660</v>
      </c>
    </row>
    <row r="36" customFormat="false" ht="35.05" hidden="false" customHeight="false" outlineLevel="0" collapsed="false">
      <c r="B36" s="11" t="n">
        <f aca="false">$C$6*(1+0.15)</f>
        <v>115</v>
      </c>
      <c r="C36" s="11" t="n">
        <f aca="false">IF($F$9=1,MAX(B36-$C$8,0),MAX($C$8-B36,0))</f>
        <v>15</v>
      </c>
      <c r="D36" s="11" t="n">
        <f aca="false">IF($F$9=1,MAX(B36-$C$10,0),MAX($C$10-B36,0))</f>
        <v>9.99999999999999</v>
      </c>
      <c r="E36" s="7" t="n">
        <f aca="false">C36-D36</f>
        <v>5</v>
      </c>
      <c r="F36" s="7" t="n">
        <f aca="false">(E36-$F$6)*$C$12*$C$13</f>
        <v>660</v>
      </c>
    </row>
    <row r="37" customFormat="false" ht="35.05" hidden="false" customHeight="false" outlineLevel="0" collapsed="false">
      <c r="B37" s="11" t="n">
        <f aca="false">$C$6*(1+0.2)</f>
        <v>120</v>
      </c>
      <c r="C37" s="11" t="n">
        <f aca="false">IF($F$9=1,MAX(B37-$C$8,0),MAX($C$8-B37,0))</f>
        <v>20</v>
      </c>
      <c r="D37" s="11" t="n">
        <f aca="false">IF($F$9=1,MAX(B37-$C$10,0),MAX($C$10-B37,0))</f>
        <v>15</v>
      </c>
      <c r="E37" s="7" t="n">
        <f aca="false">C37-D37</f>
        <v>5</v>
      </c>
      <c r="F37" s="7" t="n">
        <f aca="false">(E37-$F$6)*$C$12*$C$13</f>
        <v>660</v>
      </c>
    </row>
    <row r="40" customFormat="false" ht="15" hidden="false" customHeight="false" outlineLevel="0" collapsed="false">
      <c r="B40" s="10" t="s">
        <v>63</v>
      </c>
      <c r="C40" s="10"/>
      <c r="D40" s="10"/>
      <c r="E40" s="10"/>
      <c r="F40" s="10"/>
    </row>
  </sheetData>
  <mergeCells count="8">
    <mergeCell ref="B2:F2"/>
    <mergeCell ref="B3:F3"/>
    <mergeCell ref="B5:C5"/>
    <mergeCell ref="E5:F5"/>
    <mergeCell ref="B15:C15"/>
    <mergeCell ref="E15:F15"/>
    <mergeCell ref="B22:F22"/>
    <mergeCell ref="B40:F40"/>
  </mergeCells>
  <conditionalFormatting sqref="F24:F37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55"/>
    <col collapsed="false" customWidth="true" hidden="false" outlineLevel="0" max="5" min="4" style="0" width="18"/>
  </cols>
  <sheetData>
    <row r="2" customFormat="false" ht="27.75" hidden="false" customHeight="true" outlineLevel="0" collapsed="false">
      <c r="B2" s="1" t="s">
        <v>64</v>
      </c>
      <c r="C2" s="1"/>
      <c r="D2" s="1"/>
      <c r="E2" s="1"/>
    </row>
    <row r="4" customFormat="false" ht="15" hidden="false" customHeight="false" outlineLevel="0" collapsed="false">
      <c r="B4" s="21" t="s">
        <v>65</v>
      </c>
      <c r="C4" s="21"/>
      <c r="D4" s="21"/>
      <c r="E4" s="21"/>
    </row>
    <row r="5" customFormat="false" ht="15" hidden="false" customHeight="false" outlineLevel="0" collapsed="false">
      <c r="B5" s="22" t="s">
        <v>66</v>
      </c>
      <c r="C5" s="22" t="s">
        <v>67</v>
      </c>
      <c r="D5" s="22" t="s">
        <v>68</v>
      </c>
      <c r="E5" s="22" t="s">
        <v>56</v>
      </c>
    </row>
    <row r="6" customFormat="false" ht="15" hidden="false" customHeight="false" outlineLevel="0" collapsed="false">
      <c r="B6" s="4" t="s">
        <v>69</v>
      </c>
      <c r="C6" s="23" t="s">
        <v>70</v>
      </c>
      <c r="D6" s="23" t="s">
        <v>71</v>
      </c>
      <c r="E6" s="23" t="s">
        <v>72</v>
      </c>
    </row>
    <row r="7" customFormat="false" ht="15" hidden="false" customHeight="false" outlineLevel="0" collapsed="false">
      <c r="B7" s="24" t="s">
        <v>73</v>
      </c>
      <c r="C7" s="25" t="s">
        <v>74</v>
      </c>
      <c r="D7" s="25" t="s">
        <v>70</v>
      </c>
      <c r="E7" s="25" t="s">
        <v>72</v>
      </c>
    </row>
    <row r="8" customFormat="false" ht="15" hidden="false" customHeight="false" outlineLevel="0" collapsed="false">
      <c r="B8" s="4" t="s">
        <v>75</v>
      </c>
      <c r="C8" s="23" t="s">
        <v>76</v>
      </c>
      <c r="D8" s="23" t="s">
        <v>71</v>
      </c>
      <c r="E8" s="23" t="s">
        <v>76</v>
      </c>
    </row>
    <row r="9" customFormat="false" ht="15" hidden="false" customHeight="false" outlineLevel="0" collapsed="false">
      <c r="B9" s="24" t="s">
        <v>77</v>
      </c>
      <c r="C9" s="25" t="s">
        <v>74</v>
      </c>
      <c r="D9" s="25" t="s">
        <v>76</v>
      </c>
      <c r="E9" s="25" t="s">
        <v>76</v>
      </c>
    </row>
    <row r="11" customFormat="false" ht="15" hidden="false" customHeight="false" outlineLevel="0" collapsed="false">
      <c r="B11" s="21" t="s">
        <v>78</v>
      </c>
      <c r="C11" s="21"/>
      <c r="D11" s="21"/>
      <c r="E11" s="21"/>
    </row>
    <row r="12" customFormat="false" ht="15" hidden="false" customHeight="false" outlineLevel="0" collapsed="false">
      <c r="B12" s="22" t="s">
        <v>79</v>
      </c>
      <c r="C12" s="22" t="s">
        <v>80</v>
      </c>
      <c r="D12" s="22" t="s">
        <v>67</v>
      </c>
      <c r="E12" s="22" t="s">
        <v>68</v>
      </c>
    </row>
    <row r="13" customFormat="false" ht="15" hidden="false" customHeight="false" outlineLevel="0" collapsed="false">
      <c r="B13" s="4" t="s">
        <v>81</v>
      </c>
      <c r="C13" s="23" t="s">
        <v>82</v>
      </c>
      <c r="D13" s="23" t="s">
        <v>83</v>
      </c>
      <c r="E13" s="23" t="s">
        <v>84</v>
      </c>
    </row>
    <row r="14" customFormat="false" ht="15" hidden="false" customHeight="false" outlineLevel="0" collapsed="false">
      <c r="B14" s="24" t="s">
        <v>85</v>
      </c>
      <c r="C14" s="25" t="s">
        <v>86</v>
      </c>
      <c r="D14" s="25" t="s">
        <v>87</v>
      </c>
      <c r="E14" s="25" t="s">
        <v>88</v>
      </c>
    </row>
    <row r="15" customFormat="false" ht="15" hidden="false" customHeight="false" outlineLevel="0" collapsed="false">
      <c r="B15" s="4" t="s">
        <v>89</v>
      </c>
      <c r="C15" s="23" t="s">
        <v>90</v>
      </c>
      <c r="D15" s="23" t="s">
        <v>87</v>
      </c>
      <c r="E15" s="23" t="s">
        <v>88</v>
      </c>
    </row>
    <row r="16" customFormat="false" ht="15" hidden="false" customHeight="false" outlineLevel="0" collapsed="false">
      <c r="B16" s="24" t="s">
        <v>91</v>
      </c>
      <c r="C16" s="25" t="s">
        <v>92</v>
      </c>
      <c r="D16" s="25" t="s">
        <v>83</v>
      </c>
      <c r="E16" s="25" t="s">
        <v>84</v>
      </c>
    </row>
    <row r="19" customFormat="false" ht="15" hidden="false" customHeight="false" outlineLevel="0" collapsed="false">
      <c r="B19" s="21" t="s">
        <v>93</v>
      </c>
      <c r="C19" s="21"/>
      <c r="D19" s="21"/>
      <c r="E19" s="21"/>
    </row>
    <row r="20" customFormat="false" ht="15" hidden="false" customHeight="false" outlineLevel="0" collapsed="false">
      <c r="B20" s="26" t="s">
        <v>94</v>
      </c>
      <c r="C20" s="26"/>
      <c r="D20" s="26"/>
      <c r="E20" s="26"/>
    </row>
    <row r="21" customFormat="false" ht="15" hidden="false" customHeight="false" outlineLevel="0" collapsed="false">
      <c r="B21" s="26" t="s">
        <v>95</v>
      </c>
      <c r="C21" s="26"/>
      <c r="D21" s="26"/>
      <c r="E21" s="26"/>
    </row>
    <row r="22" customFormat="false" ht="15" hidden="false" customHeight="false" outlineLevel="0" collapsed="false">
      <c r="B22" s="26" t="s">
        <v>96</v>
      </c>
      <c r="C22" s="26"/>
      <c r="D22" s="26"/>
      <c r="E22" s="26"/>
    </row>
    <row r="23" customFormat="false" ht="15" hidden="false" customHeight="false" outlineLevel="0" collapsed="false">
      <c r="B23" s="26" t="s">
        <v>97</v>
      </c>
      <c r="C23" s="26"/>
      <c r="D23" s="26"/>
      <c r="E23" s="26"/>
    </row>
    <row r="24" customFormat="false" ht="15" hidden="false" customHeight="false" outlineLevel="0" collapsed="false">
      <c r="B24" s="26" t="s">
        <v>98</v>
      </c>
      <c r="C24" s="26"/>
      <c r="D24" s="26"/>
      <c r="E24" s="26"/>
    </row>
    <row r="25" customFormat="false" ht="15" hidden="false" customHeight="false" outlineLevel="0" collapsed="false">
      <c r="B25" s="26" t="s">
        <v>99</v>
      </c>
      <c r="C25" s="26"/>
      <c r="D25" s="26"/>
      <c r="E25" s="26"/>
    </row>
    <row r="26" customFormat="false" ht="15" hidden="false" customHeight="false" outlineLevel="0" collapsed="false">
      <c r="B26" s="26" t="s">
        <v>100</v>
      </c>
      <c r="C26" s="26"/>
      <c r="D26" s="26"/>
      <c r="E26" s="26"/>
    </row>
    <row r="28" customFormat="false" ht="15" hidden="false" customHeight="false" outlineLevel="0" collapsed="false">
      <c r="B28" s="27" t="s">
        <v>101</v>
      </c>
      <c r="C28" s="27"/>
      <c r="D28" s="27"/>
      <c r="E28" s="27"/>
    </row>
  </sheetData>
  <mergeCells count="12">
    <mergeCell ref="B2:E2"/>
    <mergeCell ref="B4:E4"/>
    <mergeCell ref="B11:E11"/>
    <mergeCell ref="B19:E19"/>
    <mergeCell ref="B20:E20"/>
    <mergeCell ref="B21:E21"/>
    <mergeCell ref="B22:E22"/>
    <mergeCell ref="B23:E23"/>
    <mergeCell ref="B24:E24"/>
    <mergeCell ref="B25:E25"/>
    <mergeCell ref="B26:E26"/>
    <mergeCell ref="B28:E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2026-08-28T10:06:25Z</dcterms:created>
  <dc:creator>openpyxl</dc:creator>
  <dc:description/>
  <dc:language>en-US</dc:language>
  <cp:lastModifiedBy/>
  <dcterms:modified xsi:type="dcterms:W3CDTF">2026-08-28T10:06:26Z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